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ew\Downloads\Logistics-Delay-Prediction-Project\Data\"/>
    </mc:Choice>
  </mc:AlternateContent>
  <xr:revisionPtr revIDLastSave="0" documentId="13_ncr:1_{1CD783C4-AB63-4A4D-BC60-ACC0955A1E0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Raw Data" sheetId="1" r:id="rId1"/>
    <sheet name="Cleaned Data" sheetId="2" r:id="rId2"/>
    <sheet name="KPI_Dashboard" sheetId="3" r:id="rId3"/>
    <sheet name="Route Analysis" sheetId="4" r:id="rId4"/>
    <sheet name="Weather Impact Analysis " sheetId="7" r:id="rId5"/>
    <sheet name="Vehicle Performance Analysis" sheetId="8" r:id="rId6"/>
    <sheet name="Driver Performance Analysis" sheetId="10" r:id="rId7"/>
    <sheet name="Sheet1" sheetId="11" r:id="rId8"/>
  </sheets>
  <definedNames>
    <definedName name="_xlnm._FilterDatabase" localSheetId="1" hidden="1">'Cleaned Data'!$A$1:$Z$1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3" l="1"/>
  <c r="B11" i="3"/>
  <c r="B10" i="3"/>
  <c r="B9" i="3"/>
  <c r="B8" i="3"/>
  <c r="B7" i="3"/>
  <c r="B6" i="3"/>
  <c r="B4" i="3"/>
  <c r="B5" i="3"/>
  <c r="B3" i="3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2" i="2"/>
</calcChain>
</file>

<file path=xl/sharedStrings.xml><?xml version="1.0" encoding="utf-8"?>
<sst xmlns="http://schemas.openxmlformats.org/spreadsheetml/2006/main" count="13149" uniqueCount="644">
  <si>
    <t>Shipment_ID</t>
  </si>
  <si>
    <t>Order_Date</t>
  </si>
  <si>
    <t>Dispatch_Date</t>
  </si>
  <si>
    <t>Delivery_Date</t>
  </si>
  <si>
    <t>Source_City</t>
  </si>
  <si>
    <t>Destination_City</t>
  </si>
  <si>
    <t>Route</t>
  </si>
  <si>
    <t>Distance_km</t>
  </si>
  <si>
    <t>Vehicle_Type</t>
  </si>
  <si>
    <t>Vehicle_Age</t>
  </si>
  <si>
    <t>Fuel_Cost</t>
  </si>
  <si>
    <t>Maintenance_Score</t>
  </si>
  <si>
    <t>Driver_ID</t>
  </si>
  <si>
    <t>Driver_Experience_Years</t>
  </si>
  <si>
    <t>Driver_Rating</t>
  </si>
  <si>
    <t>Weather_Condition</t>
  </si>
  <si>
    <t>Traffic_Level</t>
  </si>
  <si>
    <t>Road_Condition</t>
  </si>
  <si>
    <t>Estimated_Delivery_Days</t>
  </si>
  <si>
    <t>Actual_Delivery_Days</t>
  </si>
  <si>
    <t>Delay_Days</t>
  </si>
  <si>
    <t>Delivery_Status</t>
  </si>
  <si>
    <t>Customer_Type</t>
  </si>
  <si>
    <t>Product_Category</t>
  </si>
  <si>
    <t>Shipment_Priority</t>
  </si>
  <si>
    <t>Customer_Rating</t>
  </si>
  <si>
    <t>SHP1001</t>
  </si>
  <si>
    <t>Delhi</t>
  </si>
  <si>
    <t>Mumbai</t>
  </si>
  <si>
    <t>Delhi-Mumbai</t>
  </si>
  <si>
    <t>Container</t>
  </si>
  <si>
    <t>D148</t>
  </si>
  <si>
    <t>Sunny</t>
  </si>
  <si>
    <t>High</t>
  </si>
  <si>
    <t>Average</t>
  </si>
  <si>
    <t>On Time</t>
  </si>
  <si>
    <t>Corporate</t>
  </si>
  <si>
    <t>Furniture</t>
  </si>
  <si>
    <t>Low</t>
  </si>
  <si>
    <t>SHP1002</t>
  </si>
  <si>
    <t>Chennai</t>
  </si>
  <si>
    <t>Bangalore</t>
  </si>
  <si>
    <t>Chennai-Bangalore</t>
  </si>
  <si>
    <t>Van</t>
  </si>
  <si>
    <t>D118</t>
  </si>
  <si>
    <t>Rainy</t>
  </si>
  <si>
    <t>Delayed</t>
  </si>
  <si>
    <t>Clothing</t>
  </si>
  <si>
    <t>SHP1003</t>
  </si>
  <si>
    <t>Ahmedabad</t>
  </si>
  <si>
    <t>Jaipur</t>
  </si>
  <si>
    <t>Ahmedabad-Jaipur</t>
  </si>
  <si>
    <t>D135</t>
  </si>
  <si>
    <t>Storm</t>
  </si>
  <si>
    <t>Poor</t>
  </si>
  <si>
    <t>Wholesale</t>
  </si>
  <si>
    <t>SHP1004</t>
  </si>
  <si>
    <t>Kolkata</t>
  </si>
  <si>
    <t>Patna</t>
  </si>
  <si>
    <t>Kolkata-Patna</t>
  </si>
  <si>
    <t>Mini Truck</t>
  </si>
  <si>
    <t>D130</t>
  </si>
  <si>
    <t>Medium</t>
  </si>
  <si>
    <t>Electronics</t>
  </si>
  <si>
    <t>SHP1005</t>
  </si>
  <si>
    <t>D145</t>
  </si>
  <si>
    <t>Fog</t>
  </si>
  <si>
    <t>Good</t>
  </si>
  <si>
    <t>Retail</t>
  </si>
  <si>
    <t>SHP1006</t>
  </si>
  <si>
    <t>D110</t>
  </si>
  <si>
    <t>SHP1007</t>
  </si>
  <si>
    <t>Bhopal</t>
  </si>
  <si>
    <t>Pune</t>
  </si>
  <si>
    <t>Bhopal-Pune</t>
  </si>
  <si>
    <t>D125</t>
  </si>
  <si>
    <t>Machinery</t>
  </si>
  <si>
    <t>SHP1008</t>
  </si>
  <si>
    <t>D147</t>
  </si>
  <si>
    <t>SHP1009</t>
  </si>
  <si>
    <t>D124</t>
  </si>
  <si>
    <t>SHP1010</t>
  </si>
  <si>
    <t>Indore</t>
  </si>
  <si>
    <t>Hyderabad</t>
  </si>
  <si>
    <t>Indore-Hyderabad</t>
  </si>
  <si>
    <t>D134</t>
  </si>
  <si>
    <t>SHP1011</t>
  </si>
  <si>
    <t>Truck</t>
  </si>
  <si>
    <t>D136</t>
  </si>
  <si>
    <t>SHP1012</t>
  </si>
  <si>
    <t>D114</t>
  </si>
  <si>
    <t>SHP1013</t>
  </si>
  <si>
    <t>Nagpur</t>
  </si>
  <si>
    <t>Surat</t>
  </si>
  <si>
    <t>Nagpur-Surat</t>
  </si>
  <si>
    <t>Food</t>
  </si>
  <si>
    <t>SHP1014</t>
  </si>
  <si>
    <t>D142</t>
  </si>
  <si>
    <t>SHP1015</t>
  </si>
  <si>
    <t>D119</t>
  </si>
  <si>
    <t>SHP1016</t>
  </si>
  <si>
    <t>D111</t>
  </si>
  <si>
    <t>SHP1017</t>
  </si>
  <si>
    <t>D143</t>
  </si>
  <si>
    <t>SHP1018</t>
  </si>
  <si>
    <t>D137</t>
  </si>
  <si>
    <t>SHP1019</t>
  </si>
  <si>
    <t>D107</t>
  </si>
  <si>
    <t>SHP1020</t>
  </si>
  <si>
    <t>D106</t>
  </si>
  <si>
    <t>SHP1021</t>
  </si>
  <si>
    <t>Lucknow</t>
  </si>
  <si>
    <t>Lucknow-Delhi</t>
  </si>
  <si>
    <t>SHP1022</t>
  </si>
  <si>
    <t>D127</t>
  </si>
  <si>
    <t>SHP1023</t>
  </si>
  <si>
    <t>D131</t>
  </si>
  <si>
    <t>SHP1024</t>
  </si>
  <si>
    <t>D108</t>
  </si>
  <si>
    <t>SHP1025</t>
  </si>
  <si>
    <t>D128</t>
  </si>
  <si>
    <t>SHP1026</t>
  </si>
  <si>
    <t>SHP1027</t>
  </si>
  <si>
    <t>D144</t>
  </si>
  <si>
    <t>SHP1028</t>
  </si>
  <si>
    <t>D116</t>
  </si>
  <si>
    <t>SHP1029</t>
  </si>
  <si>
    <t>SHP1030</t>
  </si>
  <si>
    <t>D129</t>
  </si>
  <si>
    <t>SHP1031</t>
  </si>
  <si>
    <t>SHP1032</t>
  </si>
  <si>
    <t>D120</t>
  </si>
  <si>
    <t>SHP1033</t>
  </si>
  <si>
    <t>SHP1034</t>
  </si>
  <si>
    <t>SHP1035</t>
  </si>
  <si>
    <t>D102</t>
  </si>
  <si>
    <t>SHP1036</t>
  </si>
  <si>
    <t>SHP1037</t>
  </si>
  <si>
    <t>SHP1038</t>
  </si>
  <si>
    <t>D140</t>
  </si>
  <si>
    <t>SHP1039</t>
  </si>
  <si>
    <t>SHP1040</t>
  </si>
  <si>
    <t>SHP1041</t>
  </si>
  <si>
    <t>D122</t>
  </si>
  <si>
    <t>SHP1042</t>
  </si>
  <si>
    <t>D138</t>
  </si>
  <si>
    <t>SHP1043</t>
  </si>
  <si>
    <t>D109</t>
  </si>
  <si>
    <t>SHP1044</t>
  </si>
  <si>
    <t>SHP1045</t>
  </si>
  <si>
    <t>SHP1046</t>
  </si>
  <si>
    <t>SHP1047</t>
  </si>
  <si>
    <t>SHP1048</t>
  </si>
  <si>
    <t>D132</t>
  </si>
  <si>
    <t>SHP1049</t>
  </si>
  <si>
    <t>SHP1050</t>
  </si>
  <si>
    <t>SHP1051</t>
  </si>
  <si>
    <t>SHP1052</t>
  </si>
  <si>
    <t>D101</t>
  </si>
  <si>
    <t>SHP1053</t>
  </si>
  <si>
    <t>D113</t>
  </si>
  <si>
    <t>SHP1054</t>
  </si>
  <si>
    <t>SHP1055</t>
  </si>
  <si>
    <t>SHP1056</t>
  </si>
  <si>
    <t>SHP1057</t>
  </si>
  <si>
    <t>D105</t>
  </si>
  <si>
    <t>SHP1058</t>
  </si>
  <si>
    <t>SHP1059</t>
  </si>
  <si>
    <t>SHP1060</t>
  </si>
  <si>
    <t>SHP1061</t>
  </si>
  <si>
    <t>D150</t>
  </si>
  <si>
    <t>SHP1062</t>
  </si>
  <si>
    <t>D103</t>
  </si>
  <si>
    <t>SHP1063</t>
  </si>
  <si>
    <t>SHP1064</t>
  </si>
  <si>
    <t>SHP1065</t>
  </si>
  <si>
    <t>SHP1066</t>
  </si>
  <si>
    <t>SHP1067</t>
  </si>
  <si>
    <t>D123</t>
  </si>
  <si>
    <t>SHP1068</t>
  </si>
  <si>
    <t>SHP1069</t>
  </si>
  <si>
    <t>SHP1070</t>
  </si>
  <si>
    <t>SHP1071</t>
  </si>
  <si>
    <t>SHP1072</t>
  </si>
  <si>
    <t>SHP1073</t>
  </si>
  <si>
    <t>SHP1074</t>
  </si>
  <si>
    <t>D133</t>
  </si>
  <si>
    <t>SHP1075</t>
  </si>
  <si>
    <t>SHP1076</t>
  </si>
  <si>
    <t>SHP1077</t>
  </si>
  <si>
    <t>D149</t>
  </si>
  <si>
    <t>SHP1078</t>
  </si>
  <si>
    <t>SHP1079</t>
  </si>
  <si>
    <t>SHP1080</t>
  </si>
  <si>
    <t>SHP1081</t>
  </si>
  <si>
    <t>SHP1082</t>
  </si>
  <si>
    <t>SHP1083</t>
  </si>
  <si>
    <t>SHP1084</t>
  </si>
  <si>
    <t>SHP1085</t>
  </si>
  <si>
    <t>SHP1086</t>
  </si>
  <si>
    <t>SHP1087</t>
  </si>
  <si>
    <t>SHP1088</t>
  </si>
  <si>
    <t>SHP1089</t>
  </si>
  <si>
    <t>SHP1090</t>
  </si>
  <si>
    <t>SHP1091</t>
  </si>
  <si>
    <t>D126</t>
  </si>
  <si>
    <t>SHP1092</t>
  </si>
  <si>
    <t>SHP1093</t>
  </si>
  <si>
    <t>D104</t>
  </si>
  <si>
    <t>SHP1094</t>
  </si>
  <si>
    <t>SHP1095</t>
  </si>
  <si>
    <t>SHP1096</t>
  </si>
  <si>
    <t>SHP1097</t>
  </si>
  <si>
    <t>SHP1098</t>
  </si>
  <si>
    <t>SHP1099</t>
  </si>
  <si>
    <t>SHP1100</t>
  </si>
  <si>
    <t>SHP1101</t>
  </si>
  <si>
    <t>SHP1102</t>
  </si>
  <si>
    <t>SHP1103</t>
  </si>
  <si>
    <t>SHP1104</t>
  </si>
  <si>
    <t>SHP1105</t>
  </si>
  <si>
    <t>SHP1106</t>
  </si>
  <si>
    <t>D141</t>
  </si>
  <si>
    <t>SHP1107</t>
  </si>
  <si>
    <t>SHP1108</t>
  </si>
  <si>
    <t>SHP1109</t>
  </si>
  <si>
    <t>D121</t>
  </si>
  <si>
    <t>SHP1110</t>
  </si>
  <si>
    <t>SHP1111</t>
  </si>
  <si>
    <t>SHP1112</t>
  </si>
  <si>
    <t>SHP1113</t>
  </si>
  <si>
    <t>SHP1114</t>
  </si>
  <si>
    <t>SHP1115</t>
  </si>
  <si>
    <t>SHP1116</t>
  </si>
  <si>
    <t>SHP1117</t>
  </si>
  <si>
    <t>SHP1118</t>
  </si>
  <si>
    <t>SHP1119</t>
  </si>
  <si>
    <t>SHP1120</t>
  </si>
  <si>
    <t>SHP1121</t>
  </si>
  <si>
    <t>D115</t>
  </si>
  <si>
    <t>SHP1122</t>
  </si>
  <si>
    <t>SHP1123</t>
  </si>
  <si>
    <t>SHP1124</t>
  </si>
  <si>
    <t>D117</t>
  </si>
  <si>
    <t>SHP1125</t>
  </si>
  <si>
    <t>D146</t>
  </si>
  <si>
    <t>SHP1126</t>
  </si>
  <si>
    <t>SHP1127</t>
  </si>
  <si>
    <t>SHP1128</t>
  </si>
  <si>
    <t>SHP1129</t>
  </si>
  <si>
    <t>SHP1130</t>
  </si>
  <si>
    <t>SHP1131</t>
  </si>
  <si>
    <t>SHP1132</t>
  </si>
  <si>
    <t>SHP1133</t>
  </si>
  <si>
    <t>SHP1134</t>
  </si>
  <si>
    <t>SHP1135</t>
  </si>
  <si>
    <t>SHP1136</t>
  </si>
  <si>
    <t>SHP1137</t>
  </si>
  <si>
    <t>SHP1138</t>
  </si>
  <si>
    <t>SHP1139</t>
  </si>
  <si>
    <t>SHP1140</t>
  </si>
  <si>
    <t>SHP1141</t>
  </si>
  <si>
    <t>SHP1142</t>
  </si>
  <si>
    <t>SHP1143</t>
  </si>
  <si>
    <t>SHP1144</t>
  </si>
  <si>
    <t>SHP1145</t>
  </si>
  <si>
    <t>SHP1146</t>
  </si>
  <si>
    <t>SHP1147</t>
  </si>
  <si>
    <t>SHP1148</t>
  </si>
  <si>
    <t>D139</t>
  </si>
  <si>
    <t>SHP1149</t>
  </si>
  <si>
    <t>SHP1150</t>
  </si>
  <si>
    <t>SHP1151</t>
  </si>
  <si>
    <t>SHP1152</t>
  </si>
  <si>
    <t>SHP1153</t>
  </si>
  <si>
    <t>SHP1154</t>
  </si>
  <si>
    <t>SHP1155</t>
  </si>
  <si>
    <t>SHP1156</t>
  </si>
  <si>
    <t>SHP1157</t>
  </si>
  <si>
    <t>SHP1158</t>
  </si>
  <si>
    <t>SHP1159</t>
  </si>
  <si>
    <t>SHP1160</t>
  </si>
  <si>
    <t>SHP1161</t>
  </si>
  <si>
    <t>D112</t>
  </si>
  <si>
    <t>SHP1162</t>
  </si>
  <si>
    <t>SHP1163</t>
  </si>
  <si>
    <t>SHP1164</t>
  </si>
  <si>
    <t>SHP1165</t>
  </si>
  <si>
    <t>SHP1166</t>
  </si>
  <si>
    <t>SHP1167</t>
  </si>
  <si>
    <t>SHP1168</t>
  </si>
  <si>
    <t>SHP1169</t>
  </si>
  <si>
    <t>SHP1170</t>
  </si>
  <si>
    <t>SHP1171</t>
  </si>
  <si>
    <t>SHP1172</t>
  </si>
  <si>
    <t>SHP1173</t>
  </si>
  <si>
    <t>SHP1174</t>
  </si>
  <si>
    <t>SHP1175</t>
  </si>
  <si>
    <t>SHP1176</t>
  </si>
  <si>
    <t>SHP1177</t>
  </si>
  <si>
    <t>SHP1178</t>
  </si>
  <si>
    <t>SHP1179</t>
  </si>
  <si>
    <t>SHP1180</t>
  </si>
  <si>
    <t>SHP1181</t>
  </si>
  <si>
    <t>SHP1182</t>
  </si>
  <si>
    <t>SHP1183</t>
  </si>
  <si>
    <t>SHP1184</t>
  </si>
  <si>
    <t>SHP1185</t>
  </si>
  <si>
    <t>SHP1186</t>
  </si>
  <si>
    <t>SHP1187</t>
  </si>
  <si>
    <t>SHP1188</t>
  </si>
  <si>
    <t>SHP1189</t>
  </si>
  <si>
    <t>SHP1190</t>
  </si>
  <si>
    <t>SHP1191</t>
  </si>
  <si>
    <t>SHP1192</t>
  </si>
  <si>
    <t>SHP1193</t>
  </si>
  <si>
    <t>SHP1194</t>
  </si>
  <si>
    <t>SHP1195</t>
  </si>
  <si>
    <t>SHP1196</t>
  </si>
  <si>
    <t>SHP1197</t>
  </si>
  <si>
    <t>SHP1198</t>
  </si>
  <si>
    <t>SHP1199</t>
  </si>
  <si>
    <t>SHP1200</t>
  </si>
  <si>
    <t>SHP1201</t>
  </si>
  <si>
    <t>SHP1202</t>
  </si>
  <si>
    <t>SHP1203</t>
  </si>
  <si>
    <t>SHP1204</t>
  </si>
  <si>
    <t>SHP1205</t>
  </si>
  <si>
    <t>SHP1206</t>
  </si>
  <si>
    <t>SHP1207</t>
  </si>
  <si>
    <t>SHP1208</t>
  </si>
  <si>
    <t>SHP1209</t>
  </si>
  <si>
    <t>SHP1210</t>
  </si>
  <si>
    <t>SHP1211</t>
  </si>
  <si>
    <t>SHP1212</t>
  </si>
  <si>
    <t>SHP1213</t>
  </si>
  <si>
    <t>SHP1214</t>
  </si>
  <si>
    <t>SHP1215</t>
  </si>
  <si>
    <t>SHP1216</t>
  </si>
  <si>
    <t>SHP1217</t>
  </si>
  <si>
    <t>SHP1218</t>
  </si>
  <si>
    <t>SHP1219</t>
  </si>
  <si>
    <t>SHP1220</t>
  </si>
  <si>
    <t>SHP1221</t>
  </si>
  <si>
    <t>SHP1222</t>
  </si>
  <si>
    <t>SHP1223</t>
  </si>
  <si>
    <t>SHP1224</t>
  </si>
  <si>
    <t>SHP1225</t>
  </si>
  <si>
    <t>SHP1226</t>
  </si>
  <si>
    <t>SHP1227</t>
  </si>
  <si>
    <t>SHP1228</t>
  </si>
  <si>
    <t>SHP1229</t>
  </si>
  <si>
    <t>SHP1230</t>
  </si>
  <si>
    <t>SHP1231</t>
  </si>
  <si>
    <t>SHP1232</t>
  </si>
  <si>
    <t>SHP1233</t>
  </si>
  <si>
    <t>SHP1234</t>
  </si>
  <si>
    <t>SHP1235</t>
  </si>
  <si>
    <t>SHP1236</t>
  </si>
  <si>
    <t>SHP1237</t>
  </si>
  <si>
    <t>SHP1238</t>
  </si>
  <si>
    <t>SHP1239</t>
  </si>
  <si>
    <t>SHP1240</t>
  </si>
  <si>
    <t>SHP1241</t>
  </si>
  <si>
    <t>SHP1242</t>
  </si>
  <si>
    <t>SHP1243</t>
  </si>
  <si>
    <t>SHP1244</t>
  </si>
  <si>
    <t>SHP1245</t>
  </si>
  <si>
    <t>SHP1246</t>
  </si>
  <si>
    <t>SHP1247</t>
  </si>
  <si>
    <t>SHP1248</t>
  </si>
  <si>
    <t>SHP1249</t>
  </si>
  <si>
    <t>SHP1250</t>
  </si>
  <si>
    <t>SHP1251</t>
  </si>
  <si>
    <t>SHP1252</t>
  </si>
  <si>
    <t>SHP1253</t>
  </si>
  <si>
    <t>SHP1254</t>
  </si>
  <si>
    <t>SHP1255</t>
  </si>
  <si>
    <t>SHP1256</t>
  </si>
  <si>
    <t>SHP1257</t>
  </si>
  <si>
    <t>SHP1258</t>
  </si>
  <si>
    <t>SHP1259</t>
  </si>
  <si>
    <t>SHP1260</t>
  </si>
  <si>
    <t>SHP1261</t>
  </si>
  <si>
    <t>SHP1262</t>
  </si>
  <si>
    <t>SHP1263</t>
  </si>
  <si>
    <t>SHP1264</t>
  </si>
  <si>
    <t>SHP1265</t>
  </si>
  <si>
    <t>SHP1266</t>
  </si>
  <si>
    <t>SHP1267</t>
  </si>
  <si>
    <t>SHP1268</t>
  </si>
  <si>
    <t>SHP1269</t>
  </si>
  <si>
    <t>SHP1270</t>
  </si>
  <si>
    <t>SHP1271</t>
  </si>
  <si>
    <t>SHP1272</t>
  </si>
  <si>
    <t>SHP1273</t>
  </si>
  <si>
    <t>SHP1274</t>
  </si>
  <si>
    <t>SHP1275</t>
  </si>
  <si>
    <t>SHP1276</t>
  </si>
  <si>
    <t>SHP1277</t>
  </si>
  <si>
    <t>SHP1278</t>
  </si>
  <si>
    <t>SHP1279</t>
  </si>
  <si>
    <t>SHP1280</t>
  </si>
  <si>
    <t>SHP1281</t>
  </si>
  <si>
    <t>SHP1282</t>
  </si>
  <si>
    <t>SHP1283</t>
  </si>
  <si>
    <t>SHP1284</t>
  </si>
  <si>
    <t>SHP1285</t>
  </si>
  <si>
    <t>SHP1286</t>
  </si>
  <si>
    <t>SHP1287</t>
  </si>
  <si>
    <t>SHP1288</t>
  </si>
  <si>
    <t>SHP1289</t>
  </si>
  <si>
    <t>SHP1290</t>
  </si>
  <si>
    <t>SHP1291</t>
  </si>
  <si>
    <t>SHP1292</t>
  </si>
  <si>
    <t>SHP1293</t>
  </si>
  <si>
    <t>SHP1294</t>
  </si>
  <si>
    <t>SHP1295</t>
  </si>
  <si>
    <t>SHP1296</t>
  </si>
  <si>
    <t>SHP1297</t>
  </si>
  <si>
    <t>SHP1298</t>
  </si>
  <si>
    <t>SHP1299</t>
  </si>
  <si>
    <t>SHP1300</t>
  </si>
  <si>
    <t>SHP1301</t>
  </si>
  <si>
    <t>SHP1302</t>
  </si>
  <si>
    <t>SHP1303</t>
  </si>
  <si>
    <t>SHP1304</t>
  </si>
  <si>
    <t>SHP1305</t>
  </si>
  <si>
    <t>SHP1306</t>
  </si>
  <si>
    <t>SHP1307</t>
  </si>
  <si>
    <t>SHP1308</t>
  </si>
  <si>
    <t>SHP1309</t>
  </si>
  <si>
    <t>SHP1310</t>
  </si>
  <si>
    <t>SHP1311</t>
  </si>
  <si>
    <t>SHP1312</t>
  </si>
  <si>
    <t>SHP1313</t>
  </si>
  <si>
    <t>SHP1314</t>
  </si>
  <si>
    <t>SHP1315</t>
  </si>
  <si>
    <t>SHP1316</t>
  </si>
  <si>
    <t>SHP1317</t>
  </si>
  <si>
    <t>SHP1318</t>
  </si>
  <si>
    <t>SHP1319</t>
  </si>
  <si>
    <t>SHP1320</t>
  </si>
  <si>
    <t>SHP1321</t>
  </si>
  <si>
    <t>SHP1322</t>
  </si>
  <si>
    <t>SHP1323</t>
  </si>
  <si>
    <t>SHP1324</t>
  </si>
  <si>
    <t>SHP1325</t>
  </si>
  <si>
    <t>SHP1326</t>
  </si>
  <si>
    <t>SHP1327</t>
  </si>
  <si>
    <t>SHP1328</t>
  </si>
  <si>
    <t>SHP1329</t>
  </si>
  <si>
    <t>SHP1330</t>
  </si>
  <si>
    <t>SHP1331</t>
  </si>
  <si>
    <t>SHP1332</t>
  </si>
  <si>
    <t>SHP1333</t>
  </si>
  <si>
    <t>SHP1334</t>
  </si>
  <si>
    <t>SHP1335</t>
  </si>
  <si>
    <t>SHP1336</t>
  </si>
  <si>
    <t>SHP1337</t>
  </si>
  <si>
    <t>SHP1338</t>
  </si>
  <si>
    <t>SHP1339</t>
  </si>
  <si>
    <t>SHP1340</t>
  </si>
  <si>
    <t>SHP1341</t>
  </si>
  <si>
    <t>SHP1342</t>
  </si>
  <si>
    <t>SHP1343</t>
  </si>
  <si>
    <t>SHP1344</t>
  </si>
  <si>
    <t>SHP1345</t>
  </si>
  <si>
    <t>SHP1346</t>
  </si>
  <si>
    <t>SHP1347</t>
  </si>
  <si>
    <t>SHP1348</t>
  </si>
  <si>
    <t>SHP1349</t>
  </si>
  <si>
    <t>SHP1350</t>
  </si>
  <si>
    <t>SHP1351</t>
  </si>
  <si>
    <t>SHP1352</t>
  </si>
  <si>
    <t>SHP1353</t>
  </si>
  <si>
    <t>SHP1354</t>
  </si>
  <si>
    <t>SHP1355</t>
  </si>
  <si>
    <t>SHP1356</t>
  </si>
  <si>
    <t>SHP1357</t>
  </si>
  <si>
    <t>SHP1358</t>
  </si>
  <si>
    <t>SHP1359</t>
  </si>
  <si>
    <t>SHP1360</t>
  </si>
  <si>
    <t>SHP1361</t>
  </si>
  <si>
    <t>SHP1362</t>
  </si>
  <si>
    <t>SHP1363</t>
  </si>
  <si>
    <t>SHP1364</t>
  </si>
  <si>
    <t>SHP1365</t>
  </si>
  <si>
    <t>SHP1366</t>
  </si>
  <si>
    <t>SHP1367</t>
  </si>
  <si>
    <t>SHP1368</t>
  </si>
  <si>
    <t>SHP1369</t>
  </si>
  <si>
    <t>SHP1370</t>
  </si>
  <si>
    <t>SHP1371</t>
  </si>
  <si>
    <t>SHP1372</t>
  </si>
  <si>
    <t>SHP1373</t>
  </si>
  <si>
    <t>SHP1374</t>
  </si>
  <si>
    <t>SHP1375</t>
  </si>
  <si>
    <t>SHP1376</t>
  </si>
  <si>
    <t>SHP1377</t>
  </si>
  <si>
    <t>SHP1378</t>
  </si>
  <si>
    <t>SHP1379</t>
  </si>
  <si>
    <t>SHP1380</t>
  </si>
  <si>
    <t>SHP1381</t>
  </si>
  <si>
    <t>SHP1382</t>
  </si>
  <si>
    <t>SHP1383</t>
  </si>
  <si>
    <t>SHP1384</t>
  </si>
  <si>
    <t>SHP1385</t>
  </si>
  <si>
    <t>SHP1386</t>
  </si>
  <si>
    <t>SHP1387</t>
  </si>
  <si>
    <t>SHP1388</t>
  </si>
  <si>
    <t>SHP1389</t>
  </si>
  <si>
    <t>SHP1390</t>
  </si>
  <si>
    <t>SHP1391</t>
  </si>
  <si>
    <t>SHP1392</t>
  </si>
  <si>
    <t>SHP1393</t>
  </si>
  <si>
    <t>SHP1394</t>
  </si>
  <si>
    <t>SHP1395</t>
  </si>
  <si>
    <t>SHP1396</t>
  </si>
  <si>
    <t>SHP1397</t>
  </si>
  <si>
    <t>SHP1398</t>
  </si>
  <si>
    <t>SHP1399</t>
  </si>
  <si>
    <t>SHP1400</t>
  </si>
  <si>
    <t>SHP1401</t>
  </si>
  <si>
    <t>SHP1402</t>
  </si>
  <si>
    <t>SHP1403</t>
  </si>
  <si>
    <t>SHP1404</t>
  </si>
  <si>
    <t>SHP1405</t>
  </si>
  <si>
    <t>SHP1406</t>
  </si>
  <si>
    <t>SHP1407</t>
  </si>
  <si>
    <t>SHP1408</t>
  </si>
  <si>
    <t>SHP1409</t>
  </si>
  <si>
    <t>SHP1410</t>
  </si>
  <si>
    <t>SHP1411</t>
  </si>
  <si>
    <t>SHP1412</t>
  </si>
  <si>
    <t>SHP1413</t>
  </si>
  <si>
    <t>SHP1414</t>
  </si>
  <si>
    <t>SHP1415</t>
  </si>
  <si>
    <t>SHP1416</t>
  </si>
  <si>
    <t>SHP1417</t>
  </si>
  <si>
    <t>SHP1418</t>
  </si>
  <si>
    <t>SHP1419</t>
  </si>
  <si>
    <t>SHP1420</t>
  </si>
  <si>
    <t>SHP1421</t>
  </si>
  <si>
    <t>SHP1422</t>
  </si>
  <si>
    <t>SHP1423</t>
  </si>
  <si>
    <t>SHP1424</t>
  </si>
  <si>
    <t>SHP1425</t>
  </si>
  <si>
    <t>SHP1426</t>
  </si>
  <si>
    <t>SHP1427</t>
  </si>
  <si>
    <t>SHP1428</t>
  </si>
  <si>
    <t>SHP1429</t>
  </si>
  <si>
    <t>SHP1430</t>
  </si>
  <si>
    <t>SHP1431</t>
  </si>
  <si>
    <t>SHP1432</t>
  </si>
  <si>
    <t>SHP1433</t>
  </si>
  <si>
    <t>SHP1434</t>
  </si>
  <si>
    <t>SHP1435</t>
  </si>
  <si>
    <t>SHP1436</t>
  </si>
  <si>
    <t>SHP1437</t>
  </si>
  <si>
    <t>SHP1438</t>
  </si>
  <si>
    <t>SHP1439</t>
  </si>
  <si>
    <t>SHP1440</t>
  </si>
  <si>
    <t>SHP1441</t>
  </si>
  <si>
    <t>SHP1442</t>
  </si>
  <si>
    <t>SHP1443</t>
  </si>
  <si>
    <t>SHP1444</t>
  </si>
  <si>
    <t>SHP1445</t>
  </si>
  <si>
    <t>SHP1446</t>
  </si>
  <si>
    <t>SHP1447</t>
  </si>
  <si>
    <t>SHP1448</t>
  </si>
  <si>
    <t>SHP1449</t>
  </si>
  <si>
    <t>SHP1450</t>
  </si>
  <si>
    <t>SHP1451</t>
  </si>
  <si>
    <t>SHP1452</t>
  </si>
  <si>
    <t>SHP1453</t>
  </si>
  <si>
    <t>SHP1454</t>
  </si>
  <si>
    <t>SHP1455</t>
  </si>
  <si>
    <t>SHP1456</t>
  </si>
  <si>
    <t>SHP1457</t>
  </si>
  <si>
    <t>SHP1458</t>
  </si>
  <si>
    <t>SHP1459</t>
  </si>
  <si>
    <t>SHP1460</t>
  </si>
  <si>
    <t>SHP1461</t>
  </si>
  <si>
    <t>SHP1462</t>
  </si>
  <si>
    <t>SHP1463</t>
  </si>
  <si>
    <t>SHP1464</t>
  </si>
  <si>
    <t>SHP1465</t>
  </si>
  <si>
    <t>SHP1466</t>
  </si>
  <si>
    <t>SHP1467</t>
  </si>
  <si>
    <t>SHP1468</t>
  </si>
  <si>
    <t>SHP1469</t>
  </si>
  <si>
    <t>SHP1470</t>
  </si>
  <si>
    <t>SHP1471</t>
  </si>
  <si>
    <t>SHP1472</t>
  </si>
  <si>
    <t>SHP1473</t>
  </si>
  <si>
    <t>SHP1474</t>
  </si>
  <si>
    <t>SHP1475</t>
  </si>
  <si>
    <t>SHP1476</t>
  </si>
  <si>
    <t>SHP1477</t>
  </si>
  <si>
    <t>SHP1478</t>
  </si>
  <si>
    <t>SHP1479</t>
  </si>
  <si>
    <t>SHP1480</t>
  </si>
  <si>
    <t>SHP1481</t>
  </si>
  <si>
    <t>SHP1482</t>
  </si>
  <si>
    <t>SHP1483</t>
  </si>
  <si>
    <t>SHP1484</t>
  </si>
  <si>
    <t>SHP1485</t>
  </si>
  <si>
    <t>SHP1486</t>
  </si>
  <si>
    <t>SHP1487</t>
  </si>
  <si>
    <t>SHP1488</t>
  </si>
  <si>
    <t>SHP1489</t>
  </si>
  <si>
    <t>SHP1490</t>
  </si>
  <si>
    <t>SHP1491</t>
  </si>
  <si>
    <t>SHP1492</t>
  </si>
  <si>
    <t>SHP1493</t>
  </si>
  <si>
    <t>SHP1494</t>
  </si>
  <si>
    <t>SHP1495</t>
  </si>
  <si>
    <t>SHP1496</t>
  </si>
  <si>
    <t>SHP1497</t>
  </si>
  <si>
    <t>SHP1498</t>
  </si>
  <si>
    <t>SHP1499</t>
  </si>
  <si>
    <t>SHP1500</t>
  </si>
  <si>
    <t>Fuel_Cost_Per_Km</t>
  </si>
  <si>
    <t>Delivery_Performance</t>
  </si>
  <si>
    <t>Logistics KPI Dashboard</t>
  </si>
  <si>
    <t>Total Shipment</t>
  </si>
  <si>
    <t>Delayed Shipment</t>
  </si>
  <si>
    <t>On-Time Shipment</t>
  </si>
  <si>
    <t>Delay Percentage</t>
  </si>
  <si>
    <t xml:space="preserve">Average Fuel Cost </t>
  </si>
  <si>
    <t>Average Delivery Days</t>
  </si>
  <si>
    <t>Average Distance</t>
  </si>
  <si>
    <t>Highest Fuel Cost</t>
  </si>
  <si>
    <t>Lowest Fuel Cost</t>
  </si>
  <si>
    <t>Average Driver Rating</t>
  </si>
  <si>
    <t>Row Labels</t>
  </si>
  <si>
    <t>Grand Total</t>
  </si>
  <si>
    <t>Average of Delay_Days</t>
  </si>
  <si>
    <t>Route Analysis</t>
  </si>
  <si>
    <t>Weather Imapct On Delivery Delays</t>
  </si>
  <si>
    <t>Vehicle Performance Analysis</t>
  </si>
  <si>
    <t>Driver Performance Analysis</t>
  </si>
  <si>
    <t>Average of Driver_Rating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</si>
</sst>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/>
    <xf numFmtId="9" fontId="0" fillId="0" borderId="1" xfId="2" applyFont="1" applyBorder="1"/>
    <xf numFmtId="2" fontId="0" fillId="0" borderId="1" xfId="1" applyNumberFormat="1" applyFont="1" applyBorder="1"/>
    <xf numFmtId="2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[logistics_delivery_data.xlsx]Route Analysis!PivotTable1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'Route Analysis'!$A$4:$A$12</c:f>
              <c:strCache>
                <c:ptCount val="8"/>
                <c:pt idx="0">
                  <c:v>Ahmedabad-Jaipur</c:v>
                </c:pt>
                <c:pt idx="1">
                  <c:v>Bhopal-Pune</c:v>
                </c:pt>
                <c:pt idx="2">
                  <c:v>Chennai-Bangalore</c:v>
                </c:pt>
                <c:pt idx="3">
                  <c:v>Delhi-Mumbai</c:v>
                </c:pt>
                <c:pt idx="4">
                  <c:v>Indore-Hyderabad</c:v>
                </c:pt>
                <c:pt idx="5">
                  <c:v>Kolkata-Patna</c:v>
                </c:pt>
                <c:pt idx="6">
                  <c:v>Lucknow-Delhi</c:v>
                </c:pt>
                <c:pt idx="7">
                  <c:v>Nagpur-Surat</c:v>
                </c:pt>
              </c:strCache>
            </c:strRef>
          </c:cat>
          <c:val>
            <c:numRef>
              <c:f>'Route Analysis'!$B$4:$B$12</c:f>
              <c:numCache>
                <c:formatCode>0.00</c:formatCode>
                <c:ptCount val="8"/>
                <c:pt idx="0">
                  <c:v>1.5777777777777777</c:v>
                </c:pt>
                <c:pt idx="1">
                  <c:v>1.338235294117647</c:v>
                </c:pt>
                <c:pt idx="2">
                  <c:v>1.4393939393939394</c:v>
                </c:pt>
                <c:pt idx="3">
                  <c:v>1.6024096385542168</c:v>
                </c:pt>
                <c:pt idx="4">
                  <c:v>1.2857142857142858</c:v>
                </c:pt>
                <c:pt idx="5">
                  <c:v>1.5964912280701755</c:v>
                </c:pt>
                <c:pt idx="6">
                  <c:v>1.4838709677419355</c:v>
                </c:pt>
                <c:pt idx="7">
                  <c:v>1.2142857142857142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E-4C9B-A45B-BCCB87FA9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8085647"/>
        <c:axId val="728086479"/>
      </c:barChart>
      <c:catAx>
        <c:axId val="72808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86479"/>
        <c:crosses val="autoZero"/>
        <c:auto val="1"/>
        <c:lblAlgn val="ctr"/>
        <c:lblOffset val="100"/>
        <c:noMultiLvlLbl val="0"/>
      </c:catAx>
      <c:valAx>
        <c:axId val="72808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85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[logistics_delivery_data.xlsx]Weather Impact Analysis 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Impact Analysis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'Weather Impact Analysis '!$A$4:$A$8</c:f>
              <c:strCache>
                <c:ptCount val="4"/>
                <c:pt idx="0">
                  <c:v>Fog</c:v>
                </c:pt>
                <c:pt idx="1">
                  <c:v>Rainy</c:v>
                </c:pt>
                <c:pt idx="2">
                  <c:v>Storm</c:v>
                </c:pt>
                <c:pt idx="3">
                  <c:v>Sunny</c:v>
                </c:pt>
              </c:strCache>
            </c:strRef>
          </c:cat>
          <c:val>
            <c:numRef>
              <c:f>'Weather Impact Analysis '!$B$4:$B$8</c:f>
              <c:numCache>
                <c:formatCode>0.00</c:formatCode>
                <c:ptCount val="4"/>
                <c:pt idx="0">
                  <c:v>1.3740458015267176</c:v>
                </c:pt>
                <c:pt idx="1">
                  <c:v>1.5862068965517242</c:v>
                </c:pt>
                <c:pt idx="2">
                  <c:v>1.588235294117647</c:v>
                </c:pt>
                <c:pt idx="3">
                  <c:v>1.2136752136752136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3-416E-B313-200CC6EE9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1571503"/>
        <c:axId val="501573167"/>
      </c:barChart>
      <c:catAx>
        <c:axId val="50157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73167"/>
        <c:crosses val="autoZero"/>
        <c:auto val="1"/>
        <c:lblAlgn val="ctr"/>
        <c:lblOffset val="100"/>
        <c:noMultiLvlLbl val="0"/>
      </c:catAx>
      <c:valAx>
        <c:axId val="50157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57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[logistics_delivery_data.xlsx]Vehicle Performance Analysis!PivotTable4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'Vehicle Performance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'Vehicle Performance Analysis'!$A$4:$A$8</c:f>
              <c:strCache>
                <c:ptCount val="4"/>
                <c:pt idx="0">
                  <c:v>Container</c:v>
                </c:pt>
                <c:pt idx="1">
                  <c:v>Mini Truck</c:v>
                </c:pt>
                <c:pt idx="2">
                  <c:v>Truck</c:v>
                </c:pt>
                <c:pt idx="3">
                  <c:v>Van</c:v>
                </c:pt>
              </c:strCache>
            </c:strRef>
          </c:cat>
          <c:val>
            <c:numRef>
              <c:f>'Vehicle Performance Analysis'!$B$4:$B$8</c:f>
              <c:numCache>
                <c:formatCode>0.00</c:formatCode>
                <c:ptCount val="4"/>
                <c:pt idx="0">
                  <c:v>1.5606060606060606</c:v>
                </c:pt>
                <c:pt idx="1">
                  <c:v>1.415929203539823</c:v>
                </c:pt>
                <c:pt idx="2">
                  <c:v>1.278688524590164</c:v>
                </c:pt>
                <c:pt idx="3">
                  <c:v>1.5037593984962405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7-44F5-9B27-0E74AE12C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180992"/>
        <c:axId val="951181408"/>
      </c:barChart>
      <c:catAx>
        <c:axId val="9511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81408"/>
        <c:crosses val="autoZero"/>
        <c:auto val="1"/>
        <c:lblAlgn val="ctr"/>
        <c:lblOffset val="100"/>
        <c:noMultiLvlLbl val="0"/>
      </c:catAx>
      <c:valAx>
        <c:axId val="95118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[logistics_delivery_data.xlsx]Driver Performance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'Driver Performance Analysis'!$B$3</c:f>
              <c:strCache>
                <c:ptCount val="1"/>
                <c:pt idx="0">
                  <c:v>Average of Driver_Rating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'Driver Performance Analysis'!$A$4:$A$54</c:f>
              <c:strCache>
                <c:ptCount val="50"/>
                <c:pt idx="0">
                  <c:v>D101</c:v>
                </c:pt>
                <c:pt idx="1">
                  <c:v>D102</c:v>
                </c:pt>
                <c:pt idx="2">
                  <c:v>D103</c:v>
                </c:pt>
                <c:pt idx="3">
                  <c:v>D104</c:v>
                </c:pt>
                <c:pt idx="4">
                  <c:v>D105</c:v>
                </c:pt>
                <c:pt idx="5">
                  <c:v>D106</c:v>
                </c:pt>
                <c:pt idx="6">
                  <c:v>D107</c:v>
                </c:pt>
                <c:pt idx="7">
                  <c:v>D108</c:v>
                </c:pt>
                <c:pt idx="8">
                  <c:v>D109</c:v>
                </c:pt>
                <c:pt idx="9">
                  <c:v>D110</c:v>
                </c:pt>
                <c:pt idx="10">
                  <c:v>D111</c:v>
                </c:pt>
                <c:pt idx="11">
                  <c:v>D112</c:v>
                </c:pt>
                <c:pt idx="12">
                  <c:v>D113</c:v>
                </c:pt>
                <c:pt idx="13">
                  <c:v>D114</c:v>
                </c:pt>
                <c:pt idx="14">
                  <c:v>D115</c:v>
                </c:pt>
                <c:pt idx="15">
                  <c:v>D116</c:v>
                </c:pt>
                <c:pt idx="16">
                  <c:v>D117</c:v>
                </c:pt>
                <c:pt idx="17">
                  <c:v>D118</c:v>
                </c:pt>
                <c:pt idx="18">
                  <c:v>D119</c:v>
                </c:pt>
                <c:pt idx="19">
                  <c:v>D120</c:v>
                </c:pt>
                <c:pt idx="20">
                  <c:v>D121</c:v>
                </c:pt>
                <c:pt idx="21">
                  <c:v>D122</c:v>
                </c:pt>
                <c:pt idx="22">
                  <c:v>D123</c:v>
                </c:pt>
                <c:pt idx="23">
                  <c:v>D124</c:v>
                </c:pt>
                <c:pt idx="24">
                  <c:v>D125</c:v>
                </c:pt>
                <c:pt idx="25">
                  <c:v>D126</c:v>
                </c:pt>
                <c:pt idx="26">
                  <c:v>D127</c:v>
                </c:pt>
                <c:pt idx="27">
                  <c:v>D128</c:v>
                </c:pt>
                <c:pt idx="28">
                  <c:v>D129</c:v>
                </c:pt>
                <c:pt idx="29">
                  <c:v>D130</c:v>
                </c:pt>
                <c:pt idx="30">
                  <c:v>D131</c:v>
                </c:pt>
                <c:pt idx="31">
                  <c:v>D132</c:v>
                </c:pt>
                <c:pt idx="32">
                  <c:v>D133</c:v>
                </c:pt>
                <c:pt idx="33">
                  <c:v>D134</c:v>
                </c:pt>
                <c:pt idx="34">
                  <c:v>D135</c:v>
                </c:pt>
                <c:pt idx="35">
                  <c:v>D136</c:v>
                </c:pt>
                <c:pt idx="36">
                  <c:v>D137</c:v>
                </c:pt>
                <c:pt idx="37">
                  <c:v>D138</c:v>
                </c:pt>
                <c:pt idx="38">
                  <c:v>D139</c:v>
                </c:pt>
                <c:pt idx="39">
                  <c:v>D140</c:v>
                </c:pt>
                <c:pt idx="40">
                  <c:v>D141</c:v>
                </c:pt>
                <c:pt idx="41">
                  <c:v>D142</c:v>
                </c:pt>
                <c:pt idx="42">
                  <c:v>D143</c:v>
                </c:pt>
                <c:pt idx="43">
                  <c:v>D144</c:v>
                </c:pt>
                <c:pt idx="44">
                  <c:v>D145</c:v>
                </c:pt>
                <c:pt idx="45">
                  <c:v>D146</c:v>
                </c:pt>
                <c:pt idx="46">
                  <c:v>D147</c:v>
                </c:pt>
                <c:pt idx="47">
                  <c:v>D148</c:v>
                </c:pt>
                <c:pt idx="48">
                  <c:v>D149</c:v>
                </c:pt>
                <c:pt idx="49">
                  <c:v>D150</c:v>
                </c:pt>
              </c:strCache>
            </c:strRef>
          </c:cat>
          <c:val>
            <c:numRef>
              <c:f>'Driver Performance Analysis'!$B$4:$B$54</c:f>
              <c:numCache>
                <c:formatCode>0.00</c:formatCode>
                <c:ptCount val="50"/>
                <c:pt idx="0">
                  <c:v>3.875</c:v>
                </c:pt>
                <c:pt idx="1">
                  <c:v>4.0555555555555545</c:v>
                </c:pt>
                <c:pt idx="2">
                  <c:v>4.1333333333333337</c:v>
                </c:pt>
                <c:pt idx="3">
                  <c:v>3.8846153846153841</c:v>
                </c:pt>
                <c:pt idx="4">
                  <c:v>4.3599999999999994</c:v>
                </c:pt>
                <c:pt idx="5">
                  <c:v>3.9083333333333332</c:v>
                </c:pt>
                <c:pt idx="6">
                  <c:v>4.1142857142857148</c:v>
                </c:pt>
                <c:pt idx="7">
                  <c:v>4</c:v>
                </c:pt>
                <c:pt idx="8">
                  <c:v>4.24</c:v>
                </c:pt>
                <c:pt idx="9">
                  <c:v>3.9933333333333332</c:v>
                </c:pt>
                <c:pt idx="10">
                  <c:v>4</c:v>
                </c:pt>
                <c:pt idx="11">
                  <c:v>3.8200000000000003</c:v>
                </c:pt>
                <c:pt idx="12">
                  <c:v>4.5111111111111111</c:v>
                </c:pt>
                <c:pt idx="13">
                  <c:v>3.6666666666666665</c:v>
                </c:pt>
                <c:pt idx="14">
                  <c:v>4.1142857142857139</c:v>
                </c:pt>
                <c:pt idx="15">
                  <c:v>4.1363636363636367</c:v>
                </c:pt>
                <c:pt idx="16">
                  <c:v>4.0249999999999995</c:v>
                </c:pt>
                <c:pt idx="17">
                  <c:v>4.1285714285714281</c:v>
                </c:pt>
                <c:pt idx="18">
                  <c:v>4.25</c:v>
                </c:pt>
                <c:pt idx="19">
                  <c:v>3.9928571428571429</c:v>
                </c:pt>
                <c:pt idx="20">
                  <c:v>3.8636363636363638</c:v>
                </c:pt>
                <c:pt idx="21">
                  <c:v>3.9777777777777774</c:v>
                </c:pt>
                <c:pt idx="22">
                  <c:v>4</c:v>
                </c:pt>
                <c:pt idx="23">
                  <c:v>3.8428571428571425</c:v>
                </c:pt>
                <c:pt idx="24">
                  <c:v>4</c:v>
                </c:pt>
                <c:pt idx="25">
                  <c:v>4.0599999999999996</c:v>
                </c:pt>
                <c:pt idx="26">
                  <c:v>4.1222222222222227</c:v>
                </c:pt>
                <c:pt idx="27">
                  <c:v>3.8428571428571425</c:v>
                </c:pt>
                <c:pt idx="28">
                  <c:v>4.1857142857142859</c:v>
                </c:pt>
                <c:pt idx="29">
                  <c:v>4.081818181818182</c:v>
                </c:pt>
                <c:pt idx="30">
                  <c:v>3.8909090909090907</c:v>
                </c:pt>
                <c:pt idx="31">
                  <c:v>4.0000000000000009</c:v>
                </c:pt>
                <c:pt idx="32">
                  <c:v>4.0714285714285712</c:v>
                </c:pt>
                <c:pt idx="33">
                  <c:v>4.0444444444444452</c:v>
                </c:pt>
                <c:pt idx="34">
                  <c:v>4.1357142857142852</c:v>
                </c:pt>
                <c:pt idx="35">
                  <c:v>4.0200000000000005</c:v>
                </c:pt>
                <c:pt idx="36">
                  <c:v>4.127272727272727</c:v>
                </c:pt>
                <c:pt idx="37">
                  <c:v>3.9785714285714286</c:v>
                </c:pt>
                <c:pt idx="38">
                  <c:v>3.9888888888888889</c:v>
                </c:pt>
                <c:pt idx="39">
                  <c:v>4.1142857142857148</c:v>
                </c:pt>
                <c:pt idx="40">
                  <c:v>4.2</c:v>
                </c:pt>
                <c:pt idx="41">
                  <c:v>4.1000000000000005</c:v>
                </c:pt>
                <c:pt idx="42">
                  <c:v>3.8999999999999995</c:v>
                </c:pt>
                <c:pt idx="43">
                  <c:v>4.0625</c:v>
                </c:pt>
                <c:pt idx="44">
                  <c:v>3.7230769230769236</c:v>
                </c:pt>
                <c:pt idx="45">
                  <c:v>4.3285714285714283</c:v>
                </c:pt>
                <c:pt idx="46">
                  <c:v>4.1833333333333336</c:v>
                </c:pt>
                <c:pt idx="47">
                  <c:v>4.1416666666666666</c:v>
                </c:pt>
                <c:pt idx="48">
                  <c:v>3.7</c:v>
                </c:pt>
                <c:pt idx="49">
                  <c:v>4.3666666666666671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B-448D-BE4B-1E5C05086CDA}"/>
            </c:ext>
          </c:extLst>
        </c:ser>
        <c:ser>
          <c:idx val="1"/>
          <c:order val="1"/>
          <c:tx>
            <c:strRef>
              <c:f>'Driver Performance Analysis'!$C$3</c:f>
              <c:strCache>
                <c:ptCount val="1"/>
                <c:pt idx="0">
                  <c:v>Average of Delay_Days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'Driver Performance Analysis'!$A$4:$A$54</c:f>
              <c:strCache>
                <c:ptCount val="50"/>
                <c:pt idx="0">
                  <c:v>D101</c:v>
                </c:pt>
                <c:pt idx="1">
                  <c:v>D102</c:v>
                </c:pt>
                <c:pt idx="2">
                  <c:v>D103</c:v>
                </c:pt>
                <c:pt idx="3">
                  <c:v>D104</c:v>
                </c:pt>
                <c:pt idx="4">
                  <c:v>D105</c:v>
                </c:pt>
                <c:pt idx="5">
                  <c:v>D106</c:v>
                </c:pt>
                <c:pt idx="6">
                  <c:v>D107</c:v>
                </c:pt>
                <c:pt idx="7">
                  <c:v>D108</c:v>
                </c:pt>
                <c:pt idx="8">
                  <c:v>D109</c:v>
                </c:pt>
                <c:pt idx="9">
                  <c:v>D110</c:v>
                </c:pt>
                <c:pt idx="10">
                  <c:v>D111</c:v>
                </c:pt>
                <c:pt idx="11">
                  <c:v>D112</c:v>
                </c:pt>
                <c:pt idx="12">
                  <c:v>D113</c:v>
                </c:pt>
                <c:pt idx="13">
                  <c:v>D114</c:v>
                </c:pt>
                <c:pt idx="14">
                  <c:v>D115</c:v>
                </c:pt>
                <c:pt idx="15">
                  <c:v>D116</c:v>
                </c:pt>
                <c:pt idx="16">
                  <c:v>D117</c:v>
                </c:pt>
                <c:pt idx="17">
                  <c:v>D118</c:v>
                </c:pt>
                <c:pt idx="18">
                  <c:v>D119</c:v>
                </c:pt>
                <c:pt idx="19">
                  <c:v>D120</c:v>
                </c:pt>
                <c:pt idx="20">
                  <c:v>D121</c:v>
                </c:pt>
                <c:pt idx="21">
                  <c:v>D122</c:v>
                </c:pt>
                <c:pt idx="22">
                  <c:v>D123</c:v>
                </c:pt>
                <c:pt idx="23">
                  <c:v>D124</c:v>
                </c:pt>
                <c:pt idx="24">
                  <c:v>D125</c:v>
                </c:pt>
                <c:pt idx="25">
                  <c:v>D126</c:v>
                </c:pt>
                <c:pt idx="26">
                  <c:v>D127</c:v>
                </c:pt>
                <c:pt idx="27">
                  <c:v>D128</c:v>
                </c:pt>
                <c:pt idx="28">
                  <c:v>D129</c:v>
                </c:pt>
                <c:pt idx="29">
                  <c:v>D130</c:v>
                </c:pt>
                <c:pt idx="30">
                  <c:v>D131</c:v>
                </c:pt>
                <c:pt idx="31">
                  <c:v>D132</c:v>
                </c:pt>
                <c:pt idx="32">
                  <c:v>D133</c:v>
                </c:pt>
                <c:pt idx="33">
                  <c:v>D134</c:v>
                </c:pt>
                <c:pt idx="34">
                  <c:v>D135</c:v>
                </c:pt>
                <c:pt idx="35">
                  <c:v>D136</c:v>
                </c:pt>
                <c:pt idx="36">
                  <c:v>D137</c:v>
                </c:pt>
                <c:pt idx="37">
                  <c:v>D138</c:v>
                </c:pt>
                <c:pt idx="38">
                  <c:v>D139</c:v>
                </c:pt>
                <c:pt idx="39">
                  <c:v>D140</c:v>
                </c:pt>
                <c:pt idx="40">
                  <c:v>D141</c:v>
                </c:pt>
                <c:pt idx="41">
                  <c:v>D142</c:v>
                </c:pt>
                <c:pt idx="42">
                  <c:v>D143</c:v>
                </c:pt>
                <c:pt idx="43">
                  <c:v>D144</c:v>
                </c:pt>
                <c:pt idx="44">
                  <c:v>D145</c:v>
                </c:pt>
                <c:pt idx="45">
                  <c:v>D146</c:v>
                </c:pt>
                <c:pt idx="46">
                  <c:v>D147</c:v>
                </c:pt>
                <c:pt idx="47">
                  <c:v>D148</c:v>
                </c:pt>
                <c:pt idx="48">
                  <c:v>D149</c:v>
                </c:pt>
                <c:pt idx="49">
                  <c:v>D150</c:v>
                </c:pt>
              </c:strCache>
            </c:strRef>
          </c:cat>
          <c:val>
            <c:numRef>
              <c:f>'Driver Performance Analysis'!$C$4:$C$54</c:f>
              <c:numCache>
                <c:formatCode>0.00</c:formatCode>
                <c:ptCount val="50"/>
                <c:pt idx="0">
                  <c:v>1.75</c:v>
                </c:pt>
                <c:pt idx="1">
                  <c:v>1</c:v>
                </c:pt>
                <c:pt idx="2">
                  <c:v>1.8333333333333333</c:v>
                </c:pt>
                <c:pt idx="3">
                  <c:v>1.6153846153846154</c:v>
                </c:pt>
                <c:pt idx="4">
                  <c:v>1.4</c:v>
                </c:pt>
                <c:pt idx="5">
                  <c:v>1.1666666666666667</c:v>
                </c:pt>
                <c:pt idx="6">
                  <c:v>1.7142857142857142</c:v>
                </c:pt>
                <c:pt idx="7">
                  <c:v>1.7142857142857142</c:v>
                </c:pt>
                <c:pt idx="8">
                  <c:v>1.1000000000000001</c:v>
                </c:pt>
                <c:pt idx="9">
                  <c:v>1.5333333333333334</c:v>
                </c:pt>
                <c:pt idx="10">
                  <c:v>1.2</c:v>
                </c:pt>
                <c:pt idx="11">
                  <c:v>1.9</c:v>
                </c:pt>
                <c:pt idx="12">
                  <c:v>2.1111111111111112</c:v>
                </c:pt>
                <c:pt idx="13">
                  <c:v>0.44444444444444442</c:v>
                </c:pt>
                <c:pt idx="14">
                  <c:v>1</c:v>
                </c:pt>
                <c:pt idx="15">
                  <c:v>1.1818181818181819</c:v>
                </c:pt>
                <c:pt idx="16">
                  <c:v>0.875</c:v>
                </c:pt>
                <c:pt idx="17">
                  <c:v>1.4285714285714286</c:v>
                </c:pt>
                <c:pt idx="18">
                  <c:v>1.6875</c:v>
                </c:pt>
                <c:pt idx="19">
                  <c:v>1.6428571428571428</c:v>
                </c:pt>
                <c:pt idx="20">
                  <c:v>0.72727272727272729</c:v>
                </c:pt>
                <c:pt idx="21">
                  <c:v>1.4444444444444444</c:v>
                </c:pt>
                <c:pt idx="22">
                  <c:v>0.88888888888888884</c:v>
                </c:pt>
                <c:pt idx="23">
                  <c:v>1.7142857142857142</c:v>
                </c:pt>
                <c:pt idx="24">
                  <c:v>0.7142857142857143</c:v>
                </c:pt>
                <c:pt idx="25">
                  <c:v>1.1333333333333333</c:v>
                </c:pt>
                <c:pt idx="26">
                  <c:v>1.4444444444444444</c:v>
                </c:pt>
                <c:pt idx="27">
                  <c:v>0.8571428571428571</c:v>
                </c:pt>
                <c:pt idx="28">
                  <c:v>1.7857142857142858</c:v>
                </c:pt>
                <c:pt idx="29">
                  <c:v>1.7272727272727273</c:v>
                </c:pt>
                <c:pt idx="30">
                  <c:v>1.7272727272727273</c:v>
                </c:pt>
                <c:pt idx="31">
                  <c:v>1.8461538461538463</c:v>
                </c:pt>
                <c:pt idx="32">
                  <c:v>1.8571428571428572</c:v>
                </c:pt>
                <c:pt idx="33">
                  <c:v>1.8888888888888888</c:v>
                </c:pt>
                <c:pt idx="34">
                  <c:v>1.5714285714285714</c:v>
                </c:pt>
                <c:pt idx="35">
                  <c:v>0.9</c:v>
                </c:pt>
                <c:pt idx="36">
                  <c:v>1.5454545454545454</c:v>
                </c:pt>
                <c:pt idx="37">
                  <c:v>1.0714285714285714</c:v>
                </c:pt>
                <c:pt idx="38">
                  <c:v>1.4444444444444444</c:v>
                </c:pt>
                <c:pt idx="39">
                  <c:v>2.1428571428571428</c:v>
                </c:pt>
                <c:pt idx="40">
                  <c:v>2.8</c:v>
                </c:pt>
                <c:pt idx="41">
                  <c:v>1.9411764705882353</c:v>
                </c:pt>
                <c:pt idx="42">
                  <c:v>1</c:v>
                </c:pt>
                <c:pt idx="43">
                  <c:v>1.5</c:v>
                </c:pt>
                <c:pt idx="44">
                  <c:v>1.3846153846153846</c:v>
                </c:pt>
                <c:pt idx="45">
                  <c:v>1.7142857142857142</c:v>
                </c:pt>
                <c:pt idx="46">
                  <c:v>1.5</c:v>
                </c:pt>
                <c:pt idx="47">
                  <c:v>0.91666666666666663</c:v>
                </c:pt>
                <c:pt idx="48">
                  <c:v>1.375</c:v>
                </c:pt>
                <c:pt idx="49">
                  <c:v>1.5555555555555556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B-448D-BE4B-1E5C05086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5352560"/>
        <c:axId val="845349232"/>
      </c:barChart>
      <c:catAx>
        <c:axId val="84535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49232"/>
        <c:crosses val="autoZero"/>
        <c:auto val="1"/>
        <c:lblAlgn val="ctr"/>
        <c:lblOffset val="100"/>
        <c:noMultiLvlLbl val="0"/>
      </c:catAx>
      <c:valAx>
        <c:axId val="84534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35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167640</xdr:rowOff>
    </xdr:from>
    <xdr:to>
      <xdr:col>11</xdr:col>
      <xdr:colOff>7620</xdr:colOff>
      <xdr:row>26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EB35E1-AE42-435A-9782-8ECE4864C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3810</xdr:rowOff>
    </xdr:from>
    <xdr:to>
      <xdr:col>10</xdr:col>
      <xdr:colOff>472440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D3786-B3D8-46E0-BB86-9544ED2A7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15240</xdr:rowOff>
    </xdr:from>
    <xdr:to>
      <xdr:col>10</xdr:col>
      <xdr:colOff>38100</xdr:colOff>
      <xdr:row>26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909375-D27F-4E80-8591-DCD14D962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</xdr:row>
      <xdr:rowOff>179070</xdr:rowOff>
    </xdr:from>
    <xdr:to>
      <xdr:col>11</xdr:col>
      <xdr:colOff>0</xdr:colOff>
      <xdr:row>26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ED492F-28B8-41BF-91CE-2703DEC02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151.169808796294" createdVersion="7" refreshedVersion="7" minRefreshableVersion="3" recordCount="500" xr:uid="{3483A28D-FCD5-4E0C-8E89-375E3E74794F}">
  <cacheSource type="worksheet">
    <worksheetSource ref="A1:AC501" sheet="Cleaned Data"/>
  </cacheSource>
  <cacheFields count="29">
    <cacheField name="Shipment_ID" numFmtId="0">
      <sharedItems/>
    </cacheField>
    <cacheField name="Order_Date" numFmtId="14">
      <sharedItems containsSemiMixedTypes="0" containsNonDate="0" containsDate="1" containsString="0" minDate="2026-01-01T00:00:00" maxDate="2026-05-02T00:00:00"/>
    </cacheField>
    <cacheField name="Dispatch_Date" numFmtId="14">
      <sharedItems containsSemiMixedTypes="0" containsNonDate="0" containsDate="1" containsString="0" minDate="2026-01-01T00:00:00" maxDate="2026-05-04T00:00:00"/>
    </cacheField>
    <cacheField name="Delivery_Date" numFmtId="14">
      <sharedItems containsSemiMixedTypes="0" containsNonDate="0" containsDate="1" containsString="0" minDate="2026-01-03T00:00:00" maxDate="2026-05-09T00:00:00"/>
    </cacheField>
    <cacheField name="Source_City" numFmtId="0">
      <sharedItems/>
    </cacheField>
    <cacheField name="Destination_City" numFmtId="0">
      <sharedItems/>
    </cacheField>
    <cacheField name="Route" numFmtId="0">
      <sharedItems count="8">
        <s v="Delhi-Mumbai"/>
        <s v="Chennai-Bangalore"/>
        <s v="Ahmedabad-Jaipur"/>
        <s v="Kolkata-Patna"/>
        <s v="Bhopal-Pune"/>
        <s v="Indore-Hyderabad"/>
        <s v="Nagpur-Surat"/>
        <s v="Lucknow-Delhi"/>
      </sharedItems>
    </cacheField>
    <cacheField name="Distance_km" numFmtId="0">
      <sharedItems containsSemiMixedTypes="0" containsString="0" containsNumber="1" containsInteger="1" minValue="202" maxValue="1799"/>
    </cacheField>
    <cacheField name="Vehicle_Type" numFmtId="0">
      <sharedItems count="4">
        <s v="Container"/>
        <s v="Van"/>
        <s v="Mini Truck"/>
        <s v="Truck"/>
      </sharedItems>
    </cacheField>
    <cacheField name="Vehicle_Age" numFmtId="0">
      <sharedItems containsSemiMixedTypes="0" containsString="0" containsNumber="1" containsInteger="1" minValue="1" maxValue="10"/>
    </cacheField>
    <cacheField name="Fuel_Cost" numFmtId="0">
      <sharedItems containsSemiMixedTypes="0" containsString="0" containsNumber="1" containsInteger="1" minValue="1428" maxValue="20544"/>
    </cacheField>
    <cacheField name="Maintenance_Score" numFmtId="0">
      <sharedItems containsSemiMixedTypes="0" containsString="0" containsNumber="1" containsInteger="1" minValue="5" maxValue="10"/>
    </cacheField>
    <cacheField name="Driver_ID" numFmtId="0">
      <sharedItems count="50">
        <s v="D148"/>
        <s v="D118"/>
        <s v="D135"/>
        <s v="D130"/>
        <s v="D145"/>
        <s v="D110"/>
        <s v="D125"/>
        <s v="D147"/>
        <s v="D124"/>
        <s v="D134"/>
        <s v="D136"/>
        <s v="D114"/>
        <s v="D142"/>
        <s v="D119"/>
        <s v="D111"/>
        <s v="D143"/>
        <s v="D137"/>
        <s v="D107"/>
        <s v="D106"/>
        <s v="D127"/>
        <s v="D131"/>
        <s v="D108"/>
        <s v="D128"/>
        <s v="D144"/>
        <s v="D116"/>
        <s v="D129"/>
        <s v="D120"/>
        <s v="D102"/>
        <s v="D140"/>
        <s v="D122"/>
        <s v="D138"/>
        <s v="D109"/>
        <s v="D132"/>
        <s v="D101"/>
        <s v="D113"/>
        <s v="D105"/>
        <s v="D150"/>
        <s v="D103"/>
        <s v="D123"/>
        <s v="D133"/>
        <s v="D149"/>
        <s v="D126"/>
        <s v="D104"/>
        <s v="D141"/>
        <s v="D121"/>
        <s v="D115"/>
        <s v="D117"/>
        <s v="D146"/>
        <s v="D139"/>
        <s v="D112"/>
      </sharedItems>
    </cacheField>
    <cacheField name="Driver_Experience_Years" numFmtId="0">
      <sharedItems containsSemiMixedTypes="0" containsString="0" containsNumber="1" containsInteger="1" minValue="1" maxValue="15"/>
    </cacheField>
    <cacheField name="Driver_Rating" numFmtId="0">
      <sharedItems containsSemiMixedTypes="0" containsString="0" containsNumber="1" minValue="3" maxValue="5"/>
    </cacheField>
    <cacheField name="Weather_Condition" numFmtId="0">
      <sharedItems count="4">
        <s v="Sunny"/>
        <s v="Rainy"/>
        <s v="Storm"/>
        <s v="Fog"/>
      </sharedItems>
    </cacheField>
    <cacheField name="Traffic_Level" numFmtId="0">
      <sharedItems/>
    </cacheField>
    <cacheField name="Road_Condition" numFmtId="0">
      <sharedItems/>
    </cacheField>
    <cacheField name="Estimated_Delivery_Days" numFmtId="0">
      <sharedItems containsSemiMixedTypes="0" containsString="0" containsNumber="1" containsInteger="1" minValue="1" maxValue="3"/>
    </cacheField>
    <cacheField name="Actual_Delivery_Days" numFmtId="0">
      <sharedItems containsSemiMixedTypes="0" containsString="0" containsNumber="1" containsInteger="1" minValue="1" maxValue="8"/>
    </cacheField>
    <cacheField name="Delay_Days" numFmtId="0">
      <sharedItems containsSemiMixedTypes="0" containsString="0" containsNumber="1" containsInteger="1" minValue="0" maxValue="6" count="7">
        <n v="0"/>
        <n v="1"/>
        <n v="2"/>
        <n v="3"/>
        <n v="4"/>
        <n v="5"/>
        <n v="6"/>
      </sharedItems>
    </cacheField>
    <cacheField name="Delivery_Status" numFmtId="0">
      <sharedItems/>
    </cacheField>
    <cacheField name="Customer_Type" numFmtId="0">
      <sharedItems/>
    </cacheField>
    <cacheField name="Product_Category" numFmtId="0">
      <sharedItems/>
    </cacheField>
    <cacheField name="Shipment_Priority" numFmtId="0">
      <sharedItems/>
    </cacheField>
    <cacheField name="Customer_Rating" numFmtId="0">
      <sharedItems containsSemiMixedTypes="0" containsString="0" containsNumber="1" minValue="3" maxValue="5"/>
    </cacheField>
    <cacheField name="Fuel_Cost_Per_Km" numFmtId="0">
      <sharedItems containsSemiMixedTypes="0" containsString="0" containsNumber="1" containsInteger="1" minValue="6" maxValue="12"/>
    </cacheField>
    <cacheField name="Delay_Days2" numFmtId="0">
      <sharedItems/>
    </cacheField>
    <cacheField name="Delivery_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HP1001"/>
    <d v="2026-03-23T00:00:00"/>
    <d v="2026-03-23T00:00:00"/>
    <d v="2026-03-26T00:00:00"/>
    <s v="Delhi"/>
    <s v="Mumbai"/>
    <x v="0"/>
    <n v="1718"/>
    <x v="0"/>
    <n v="4"/>
    <n v="12026"/>
    <n v="6"/>
    <x v="0"/>
    <n v="2"/>
    <n v="4.4000000000000004"/>
    <x v="0"/>
    <s v="High"/>
    <s v="Average"/>
    <n v="3"/>
    <n v="3"/>
    <x v="0"/>
    <s v="On Time"/>
    <s v="Corporate"/>
    <s v="Furniture"/>
    <s v="Low"/>
    <n v="4"/>
    <n v="7"/>
    <s v="No"/>
    <s v="Efficient"/>
  </r>
  <r>
    <s v="SHP1002"/>
    <d v="2026-01-04T00:00:00"/>
    <d v="2026-01-06T00:00:00"/>
    <d v="2026-01-10T00:00:00"/>
    <s v="Chennai"/>
    <s v="Bangalore"/>
    <x v="1"/>
    <n v="1666"/>
    <x v="1"/>
    <n v="4"/>
    <n v="14994"/>
    <n v="9"/>
    <x v="1"/>
    <n v="13"/>
    <n v="4.7"/>
    <x v="1"/>
    <s v="High"/>
    <s v="Average"/>
    <n v="3"/>
    <n v="4"/>
    <x v="1"/>
    <s v="Delayed"/>
    <s v="Corporate"/>
    <s v="Clothing"/>
    <s v="Low"/>
    <n v="3.2"/>
    <n v="9"/>
    <s v="Yes"/>
    <s v="Needs Improvement"/>
  </r>
  <r>
    <s v="SHP1003"/>
    <d v="2026-01-13T00:00:00"/>
    <d v="2026-01-14T00:00:00"/>
    <d v="2026-01-19T00:00:00"/>
    <s v="Ahmedabad"/>
    <s v="Jaipur"/>
    <x v="2"/>
    <n v="1436"/>
    <x v="0"/>
    <n v="1"/>
    <n v="15796"/>
    <n v="8"/>
    <x v="2"/>
    <n v="2"/>
    <n v="4.9000000000000004"/>
    <x v="2"/>
    <s v="Low"/>
    <s v="Poor"/>
    <n v="3"/>
    <n v="5"/>
    <x v="2"/>
    <s v="Delayed"/>
    <s v="Wholesale"/>
    <s v="Furniture"/>
    <s v="High"/>
    <n v="3.1"/>
    <n v="11"/>
    <s v="Yes"/>
    <s v="Needs Improvement"/>
  </r>
  <r>
    <s v="SHP1004"/>
    <d v="2026-03-26T00:00:00"/>
    <d v="2026-03-26T00:00:00"/>
    <d v="2026-03-28T00:00:00"/>
    <s v="Kolkata"/>
    <s v="Patna"/>
    <x v="3"/>
    <n v="363"/>
    <x v="2"/>
    <n v="2"/>
    <n v="3267"/>
    <n v="7"/>
    <x v="3"/>
    <n v="11"/>
    <n v="4.7"/>
    <x v="1"/>
    <s v="Medium"/>
    <s v="Average"/>
    <n v="1"/>
    <n v="2"/>
    <x v="1"/>
    <s v="Delayed"/>
    <s v="Wholesale"/>
    <s v="Electronics"/>
    <s v="High"/>
    <n v="4.3"/>
    <n v="9"/>
    <s v="Yes"/>
    <s v="Needs Improvement"/>
  </r>
  <r>
    <s v="SHP1005"/>
    <d v="2026-03-10T00:00:00"/>
    <d v="2026-03-12T00:00:00"/>
    <d v="2026-03-14T00:00:00"/>
    <s v="Chennai"/>
    <s v="Bangalore"/>
    <x v="1"/>
    <n v="534"/>
    <x v="1"/>
    <n v="7"/>
    <n v="4272"/>
    <n v="10"/>
    <x v="4"/>
    <n v="9"/>
    <n v="3.4"/>
    <x v="3"/>
    <s v="Low"/>
    <s v="Good"/>
    <n v="1"/>
    <n v="2"/>
    <x v="1"/>
    <s v="Delayed"/>
    <s v="Retail"/>
    <s v="Clothing"/>
    <s v="Low"/>
    <n v="3.4"/>
    <n v="8"/>
    <s v="Yes"/>
    <s v="Needs Improvement"/>
  </r>
  <r>
    <s v="SHP1006"/>
    <d v="2026-05-01T00:00:00"/>
    <d v="2026-05-03T00:00:00"/>
    <d v="2026-05-07T00:00:00"/>
    <s v="Ahmedabad"/>
    <s v="Jaipur"/>
    <x v="2"/>
    <n v="635"/>
    <x v="1"/>
    <n v="7"/>
    <n v="6985"/>
    <n v="8"/>
    <x v="5"/>
    <n v="5"/>
    <n v="3.3"/>
    <x v="3"/>
    <s v="High"/>
    <s v="Poor"/>
    <n v="1"/>
    <n v="4"/>
    <x v="3"/>
    <s v="Delayed"/>
    <s v="Retail"/>
    <s v="Furniture"/>
    <s v="Low"/>
    <n v="4"/>
    <n v="11"/>
    <s v="Yes"/>
    <s v="Needs Improvement"/>
  </r>
  <r>
    <s v="SHP1007"/>
    <d v="2026-01-12T00:00:00"/>
    <d v="2026-01-12T00:00:00"/>
    <d v="2026-01-13T00:00:00"/>
    <s v="Bhopal"/>
    <s v="Pune"/>
    <x v="4"/>
    <n v="513"/>
    <x v="2"/>
    <n v="7"/>
    <n v="5130"/>
    <n v="5"/>
    <x v="6"/>
    <n v="7"/>
    <n v="4.2"/>
    <x v="2"/>
    <s v="High"/>
    <s v="Average"/>
    <n v="1"/>
    <n v="1"/>
    <x v="0"/>
    <s v="On Time"/>
    <s v="Wholesale"/>
    <s v="Machinery"/>
    <s v="Medium"/>
    <n v="4.5"/>
    <n v="10"/>
    <s v="No"/>
    <s v="Efficient"/>
  </r>
  <r>
    <s v="SHP1008"/>
    <d v="2026-02-13T00:00:00"/>
    <d v="2026-02-13T00:00:00"/>
    <d v="2026-02-19T00:00:00"/>
    <s v="Kolkata"/>
    <s v="Patna"/>
    <x v="3"/>
    <n v="1090"/>
    <x v="2"/>
    <n v="8"/>
    <n v="6540"/>
    <n v="10"/>
    <x v="7"/>
    <n v="5"/>
    <n v="4.9000000000000004"/>
    <x v="1"/>
    <s v="High"/>
    <s v="Good"/>
    <n v="2"/>
    <n v="6"/>
    <x v="4"/>
    <s v="Delayed"/>
    <s v="Wholesale"/>
    <s v="Furniture"/>
    <s v="Low"/>
    <n v="3.7"/>
    <n v="6"/>
    <s v="Yes"/>
    <s v="Needs Improvement"/>
  </r>
  <r>
    <s v="SHP1009"/>
    <d v="2026-01-21T00:00:00"/>
    <d v="2026-01-23T00:00:00"/>
    <d v="2026-01-28T00:00:00"/>
    <s v="Delhi"/>
    <s v="Mumbai"/>
    <x v="0"/>
    <n v="1426"/>
    <x v="0"/>
    <n v="8"/>
    <n v="8556"/>
    <n v="5"/>
    <x v="8"/>
    <n v="15"/>
    <n v="5"/>
    <x v="3"/>
    <s v="Low"/>
    <s v="Good"/>
    <n v="3"/>
    <n v="5"/>
    <x v="2"/>
    <s v="Delayed"/>
    <s v="Corporate"/>
    <s v="Electronics"/>
    <s v="High"/>
    <n v="4"/>
    <n v="6"/>
    <s v="Yes"/>
    <s v="Needs Improvement"/>
  </r>
  <r>
    <s v="SHP1010"/>
    <d v="2026-01-09T00:00:00"/>
    <d v="2026-01-11T00:00:00"/>
    <d v="2026-01-14T00:00:00"/>
    <s v="Indore"/>
    <s v="Hyderabad"/>
    <x v="5"/>
    <n v="462"/>
    <x v="1"/>
    <n v="9"/>
    <n v="3234"/>
    <n v="7"/>
    <x v="9"/>
    <n v="14"/>
    <n v="4.2"/>
    <x v="1"/>
    <s v="High"/>
    <s v="Poor"/>
    <n v="1"/>
    <n v="3"/>
    <x v="2"/>
    <s v="Delayed"/>
    <s v="Retail"/>
    <s v="Clothing"/>
    <s v="Medium"/>
    <n v="4.8"/>
    <n v="7"/>
    <s v="Yes"/>
    <s v="Needs Improvement"/>
  </r>
  <r>
    <s v="SHP1011"/>
    <d v="2026-02-27T00:00:00"/>
    <d v="2026-02-27T00:00:00"/>
    <d v="2026-03-02T00:00:00"/>
    <s v="Chennai"/>
    <s v="Bangalore"/>
    <x v="1"/>
    <n v="660"/>
    <x v="3"/>
    <n v="6"/>
    <n v="3960"/>
    <n v="9"/>
    <x v="10"/>
    <n v="4"/>
    <n v="4.2"/>
    <x v="0"/>
    <s v="Low"/>
    <s v="Poor"/>
    <n v="1"/>
    <n v="3"/>
    <x v="2"/>
    <s v="Delayed"/>
    <s v="Corporate"/>
    <s v="Furniture"/>
    <s v="Low"/>
    <n v="4.8"/>
    <n v="6"/>
    <s v="Yes"/>
    <s v="Needs Improvement"/>
  </r>
  <r>
    <s v="SHP1012"/>
    <d v="2026-04-21T00:00:00"/>
    <d v="2026-04-22T00:00:00"/>
    <d v="2026-04-24T00:00:00"/>
    <s v="Bhopal"/>
    <s v="Pune"/>
    <x v="4"/>
    <n v="1252"/>
    <x v="2"/>
    <n v="5"/>
    <n v="13772"/>
    <n v="8"/>
    <x v="11"/>
    <n v="9"/>
    <n v="3.3"/>
    <x v="2"/>
    <s v="Low"/>
    <s v="Average"/>
    <n v="2"/>
    <n v="2"/>
    <x v="0"/>
    <s v="On Time"/>
    <s v="Corporate"/>
    <s v="Electronics"/>
    <s v="High"/>
    <n v="3.9"/>
    <n v="11"/>
    <s v="No"/>
    <s v="Efficient"/>
  </r>
  <r>
    <s v="SHP1013"/>
    <d v="2026-02-24T00:00:00"/>
    <d v="2026-02-25T00:00:00"/>
    <d v="2026-02-28T00:00:00"/>
    <s v="Nagpur"/>
    <s v="Surat"/>
    <x v="6"/>
    <n v="1693"/>
    <x v="3"/>
    <n v="2"/>
    <n v="10158"/>
    <n v="8"/>
    <x v="7"/>
    <n v="6"/>
    <n v="4.5999999999999996"/>
    <x v="0"/>
    <s v="Low"/>
    <s v="Good"/>
    <n v="3"/>
    <n v="3"/>
    <x v="0"/>
    <s v="On Time"/>
    <s v="Wholesale"/>
    <s v="Food"/>
    <s v="Low"/>
    <n v="3.8"/>
    <n v="6"/>
    <s v="No"/>
    <s v="Efficient"/>
  </r>
  <r>
    <s v="SHP1014"/>
    <d v="2026-02-05T00:00:00"/>
    <d v="2026-02-06T00:00:00"/>
    <d v="2026-02-08T00:00:00"/>
    <s v="Chennai"/>
    <s v="Bangalore"/>
    <x v="1"/>
    <n v="354"/>
    <x v="1"/>
    <n v="9"/>
    <n v="2124"/>
    <n v="5"/>
    <x v="12"/>
    <n v="9"/>
    <n v="4.7"/>
    <x v="0"/>
    <s v="Low"/>
    <s v="Good"/>
    <n v="1"/>
    <n v="2"/>
    <x v="1"/>
    <s v="Delayed"/>
    <s v="Retail"/>
    <s v="Food"/>
    <s v="Low"/>
    <n v="4.7"/>
    <n v="6"/>
    <s v="Yes"/>
    <s v="Needs Improvement"/>
  </r>
  <r>
    <s v="SHP1015"/>
    <d v="2026-04-26T00:00:00"/>
    <d v="2026-04-26T00:00:00"/>
    <d v="2026-04-28T00:00:00"/>
    <s v="Indore"/>
    <s v="Hyderabad"/>
    <x v="5"/>
    <n v="976"/>
    <x v="3"/>
    <n v="7"/>
    <n v="7808"/>
    <n v="8"/>
    <x v="13"/>
    <n v="7"/>
    <n v="4.4000000000000004"/>
    <x v="2"/>
    <s v="Low"/>
    <s v="Good"/>
    <n v="2"/>
    <n v="2"/>
    <x v="0"/>
    <s v="On Time"/>
    <s v="Corporate"/>
    <s v="Machinery"/>
    <s v="High"/>
    <n v="4.0999999999999996"/>
    <n v="8"/>
    <s v="No"/>
    <s v="Efficient"/>
  </r>
  <r>
    <s v="SHP1016"/>
    <d v="2026-04-06T00:00:00"/>
    <d v="2026-04-07T00:00:00"/>
    <d v="2026-04-10T00:00:00"/>
    <s v="Delhi"/>
    <s v="Mumbai"/>
    <x v="0"/>
    <n v="302"/>
    <x v="1"/>
    <n v="9"/>
    <n v="3624"/>
    <n v="9"/>
    <x v="14"/>
    <n v="1"/>
    <n v="4.9000000000000004"/>
    <x v="0"/>
    <s v="Low"/>
    <s v="Good"/>
    <n v="1"/>
    <n v="3"/>
    <x v="2"/>
    <s v="Delayed"/>
    <s v="Corporate"/>
    <s v="Furniture"/>
    <s v="Medium"/>
    <n v="3.2"/>
    <n v="12"/>
    <s v="Yes"/>
    <s v="Needs Improvement"/>
  </r>
  <r>
    <s v="SHP1017"/>
    <d v="2026-04-24T00:00:00"/>
    <d v="2026-04-26T00:00:00"/>
    <d v="2026-05-01T00:00:00"/>
    <s v="Chennai"/>
    <s v="Bangalore"/>
    <x v="1"/>
    <n v="1385"/>
    <x v="3"/>
    <n v="10"/>
    <n v="8310"/>
    <n v="8"/>
    <x v="15"/>
    <n v="10"/>
    <n v="4.0999999999999996"/>
    <x v="3"/>
    <s v="Medium"/>
    <s v="Good"/>
    <n v="3"/>
    <n v="5"/>
    <x v="2"/>
    <s v="Delayed"/>
    <s v="Corporate"/>
    <s v="Clothing"/>
    <s v="Medium"/>
    <n v="3.3"/>
    <n v="6"/>
    <s v="Yes"/>
    <s v="Needs Improvement"/>
  </r>
  <r>
    <s v="SHP1018"/>
    <d v="2026-03-24T00:00:00"/>
    <d v="2026-03-25T00:00:00"/>
    <d v="2026-03-26T00:00:00"/>
    <s v="Nagpur"/>
    <s v="Surat"/>
    <x v="6"/>
    <n v="847"/>
    <x v="3"/>
    <n v="1"/>
    <n v="7623"/>
    <n v="9"/>
    <x v="16"/>
    <n v="2"/>
    <n v="3.1"/>
    <x v="1"/>
    <s v="High"/>
    <s v="Average"/>
    <n v="1"/>
    <n v="1"/>
    <x v="0"/>
    <s v="On Time"/>
    <s v="Corporate"/>
    <s v="Clothing"/>
    <s v="Medium"/>
    <n v="3.3"/>
    <n v="9"/>
    <s v="No"/>
    <s v="Efficient"/>
  </r>
  <r>
    <s v="SHP1019"/>
    <d v="2026-04-17T00:00:00"/>
    <d v="2026-04-19T00:00:00"/>
    <d v="2026-04-23T00:00:00"/>
    <s v="Kolkata"/>
    <s v="Patna"/>
    <x v="3"/>
    <n v="1452"/>
    <x v="3"/>
    <n v="9"/>
    <n v="11616"/>
    <n v="10"/>
    <x v="17"/>
    <n v="15"/>
    <n v="3.3"/>
    <x v="0"/>
    <s v="Low"/>
    <s v="Poor"/>
    <n v="3"/>
    <n v="4"/>
    <x v="1"/>
    <s v="Delayed"/>
    <s v="Retail"/>
    <s v="Clothing"/>
    <s v="High"/>
    <n v="3.4"/>
    <n v="8"/>
    <s v="Yes"/>
    <s v="Needs Improvement"/>
  </r>
  <r>
    <s v="SHP1020"/>
    <d v="2026-02-13T00:00:00"/>
    <d v="2026-02-13T00:00:00"/>
    <d v="2026-02-15T00:00:00"/>
    <s v="Kolkata"/>
    <s v="Patna"/>
    <x v="3"/>
    <n v="1235"/>
    <x v="1"/>
    <n v="5"/>
    <n v="14820"/>
    <n v="5"/>
    <x v="18"/>
    <n v="11"/>
    <n v="3.8"/>
    <x v="3"/>
    <s v="Low"/>
    <s v="Good"/>
    <n v="2"/>
    <n v="2"/>
    <x v="0"/>
    <s v="On Time"/>
    <s v="Wholesale"/>
    <s v="Clothing"/>
    <s v="Low"/>
    <n v="4.5"/>
    <n v="12"/>
    <s v="No"/>
    <s v="Efficient"/>
  </r>
  <r>
    <s v="SHP1021"/>
    <d v="2026-03-12T00:00:00"/>
    <d v="2026-03-14T00:00:00"/>
    <d v="2026-03-17T00:00:00"/>
    <s v="Lucknow"/>
    <s v="Delhi"/>
    <x v="7"/>
    <n v="1348"/>
    <x v="3"/>
    <n v="2"/>
    <n v="8088"/>
    <n v="10"/>
    <x v="5"/>
    <n v="9"/>
    <n v="3.1"/>
    <x v="3"/>
    <s v="High"/>
    <s v="Poor"/>
    <n v="2"/>
    <n v="3"/>
    <x v="1"/>
    <s v="Delayed"/>
    <s v="Corporate"/>
    <s v="Clothing"/>
    <s v="Medium"/>
    <n v="4.8"/>
    <n v="6"/>
    <s v="Yes"/>
    <s v="Needs Improvement"/>
  </r>
  <r>
    <s v="SHP1022"/>
    <d v="2026-04-12T00:00:00"/>
    <d v="2026-04-12T00:00:00"/>
    <d v="2026-04-13T00:00:00"/>
    <s v="Ahmedabad"/>
    <s v="Jaipur"/>
    <x v="2"/>
    <n v="630"/>
    <x v="2"/>
    <n v="2"/>
    <n v="5040"/>
    <n v="9"/>
    <x v="19"/>
    <n v="10"/>
    <n v="4.5"/>
    <x v="1"/>
    <s v="Low"/>
    <s v="Good"/>
    <n v="1"/>
    <n v="1"/>
    <x v="0"/>
    <s v="On Time"/>
    <s v="Corporate"/>
    <s v="Clothing"/>
    <s v="Medium"/>
    <n v="4.5999999999999996"/>
    <n v="8"/>
    <s v="No"/>
    <s v="Efficient"/>
  </r>
  <r>
    <s v="SHP1023"/>
    <d v="2026-04-21T00:00:00"/>
    <d v="2026-04-23T00:00:00"/>
    <d v="2026-04-24T00:00:00"/>
    <s v="Chennai"/>
    <s v="Bangalore"/>
    <x v="1"/>
    <n v="746"/>
    <x v="2"/>
    <n v="2"/>
    <n v="6714"/>
    <n v="5"/>
    <x v="20"/>
    <n v="4"/>
    <n v="3.4"/>
    <x v="2"/>
    <s v="Medium"/>
    <s v="Average"/>
    <n v="1"/>
    <n v="1"/>
    <x v="0"/>
    <s v="On Time"/>
    <s v="Corporate"/>
    <s v="Furniture"/>
    <s v="Medium"/>
    <n v="3.7"/>
    <n v="9"/>
    <s v="No"/>
    <s v="Efficient"/>
  </r>
  <r>
    <s v="SHP1024"/>
    <d v="2026-04-21T00:00:00"/>
    <d v="2026-04-21T00:00:00"/>
    <d v="2026-04-26T00:00:00"/>
    <s v="Kolkata"/>
    <s v="Patna"/>
    <x v="3"/>
    <n v="919"/>
    <x v="1"/>
    <n v="9"/>
    <n v="7352"/>
    <n v="5"/>
    <x v="21"/>
    <n v="15"/>
    <n v="4.9000000000000004"/>
    <x v="1"/>
    <s v="High"/>
    <s v="Average"/>
    <n v="2"/>
    <n v="5"/>
    <x v="3"/>
    <s v="Delayed"/>
    <s v="Retail"/>
    <s v="Clothing"/>
    <s v="Medium"/>
    <n v="4.2"/>
    <n v="8"/>
    <s v="Yes"/>
    <s v="Needs Improvement"/>
  </r>
  <r>
    <s v="SHP1025"/>
    <d v="2026-03-07T00:00:00"/>
    <d v="2026-03-07T00:00:00"/>
    <d v="2026-03-11T00:00:00"/>
    <s v="Lucknow"/>
    <s v="Delhi"/>
    <x v="7"/>
    <n v="1380"/>
    <x v="2"/>
    <n v="5"/>
    <n v="8280"/>
    <n v="10"/>
    <x v="22"/>
    <n v="1"/>
    <n v="4"/>
    <x v="1"/>
    <s v="Medium"/>
    <s v="Average"/>
    <n v="3"/>
    <n v="4"/>
    <x v="1"/>
    <s v="Delayed"/>
    <s v="Wholesale"/>
    <s v="Clothing"/>
    <s v="High"/>
    <n v="4.7"/>
    <n v="6"/>
    <s v="Yes"/>
    <s v="Needs Improvement"/>
  </r>
  <r>
    <s v="SHP1026"/>
    <d v="2026-04-03T00:00:00"/>
    <d v="2026-04-04T00:00:00"/>
    <d v="2026-04-11T00:00:00"/>
    <s v="Kolkata"/>
    <s v="Patna"/>
    <x v="3"/>
    <n v="1565"/>
    <x v="1"/>
    <n v="6"/>
    <n v="14085"/>
    <n v="10"/>
    <x v="13"/>
    <n v="9"/>
    <n v="3.3"/>
    <x v="2"/>
    <s v="High"/>
    <s v="Average"/>
    <n v="3"/>
    <n v="7"/>
    <x v="4"/>
    <s v="Delayed"/>
    <s v="Retail"/>
    <s v="Food"/>
    <s v="High"/>
    <n v="4.7"/>
    <n v="9"/>
    <s v="Yes"/>
    <s v="Needs Improvement"/>
  </r>
  <r>
    <s v="SHP1027"/>
    <d v="2026-02-08T00:00:00"/>
    <d v="2026-02-09T00:00:00"/>
    <d v="2026-02-16T00:00:00"/>
    <s v="Chennai"/>
    <s v="Bangalore"/>
    <x v="1"/>
    <n v="1080"/>
    <x v="0"/>
    <n v="8"/>
    <n v="9720"/>
    <n v="8"/>
    <x v="23"/>
    <n v="4"/>
    <n v="4"/>
    <x v="1"/>
    <s v="High"/>
    <s v="Good"/>
    <n v="2"/>
    <n v="7"/>
    <x v="5"/>
    <s v="Delayed"/>
    <s v="Wholesale"/>
    <s v="Machinery"/>
    <s v="Medium"/>
    <n v="3.2"/>
    <n v="9"/>
    <s v="Yes"/>
    <s v="Needs Improvement"/>
  </r>
  <r>
    <s v="SHP1028"/>
    <d v="2026-04-07T00:00:00"/>
    <d v="2026-04-07T00:00:00"/>
    <d v="2026-04-08T00:00:00"/>
    <s v="Kolkata"/>
    <s v="Patna"/>
    <x v="3"/>
    <n v="660"/>
    <x v="2"/>
    <n v="3"/>
    <n v="3960"/>
    <n v="5"/>
    <x v="24"/>
    <n v="8"/>
    <n v="4.2"/>
    <x v="0"/>
    <s v="Medium"/>
    <s v="Average"/>
    <n v="1"/>
    <n v="1"/>
    <x v="0"/>
    <s v="On Time"/>
    <s v="Wholesale"/>
    <s v="Food"/>
    <s v="Medium"/>
    <n v="3.8"/>
    <n v="6"/>
    <s v="No"/>
    <s v="Efficient"/>
  </r>
  <r>
    <s v="SHP1029"/>
    <d v="2026-01-19T00:00:00"/>
    <d v="2026-01-21T00:00:00"/>
    <d v="2026-01-25T00:00:00"/>
    <s v="Delhi"/>
    <s v="Mumbai"/>
    <x v="0"/>
    <n v="1737"/>
    <x v="3"/>
    <n v="7"/>
    <n v="12159"/>
    <n v="6"/>
    <x v="4"/>
    <n v="9"/>
    <n v="3.9"/>
    <x v="1"/>
    <s v="Low"/>
    <s v="Average"/>
    <n v="3"/>
    <n v="4"/>
    <x v="1"/>
    <s v="Delayed"/>
    <s v="Wholesale"/>
    <s v="Machinery"/>
    <s v="High"/>
    <n v="4.2"/>
    <n v="7"/>
    <s v="Yes"/>
    <s v="Needs Improvement"/>
  </r>
  <r>
    <s v="SHP1030"/>
    <d v="2026-04-07T00:00:00"/>
    <d v="2026-04-08T00:00:00"/>
    <d v="2026-04-13T00:00:00"/>
    <s v="Lucknow"/>
    <s v="Delhi"/>
    <x v="7"/>
    <n v="1322"/>
    <x v="1"/>
    <n v="3"/>
    <n v="14542"/>
    <n v="8"/>
    <x v="25"/>
    <n v="5"/>
    <n v="4.5"/>
    <x v="3"/>
    <s v="High"/>
    <s v="Average"/>
    <n v="2"/>
    <n v="5"/>
    <x v="3"/>
    <s v="Delayed"/>
    <s v="Corporate"/>
    <s v="Clothing"/>
    <s v="Low"/>
    <n v="3.5"/>
    <n v="11"/>
    <s v="Yes"/>
    <s v="Needs Improvement"/>
  </r>
  <r>
    <s v="SHP1031"/>
    <d v="2026-02-10T00:00:00"/>
    <d v="2026-02-12T00:00:00"/>
    <d v="2026-02-16T00:00:00"/>
    <s v="Bhopal"/>
    <s v="Pune"/>
    <x v="4"/>
    <n v="483"/>
    <x v="2"/>
    <n v="4"/>
    <n v="4347"/>
    <n v="10"/>
    <x v="5"/>
    <n v="12"/>
    <n v="3.4"/>
    <x v="2"/>
    <s v="Medium"/>
    <s v="Average"/>
    <n v="1"/>
    <n v="4"/>
    <x v="3"/>
    <s v="Delayed"/>
    <s v="Retail"/>
    <s v="Electronics"/>
    <s v="Low"/>
    <n v="4.7"/>
    <n v="9"/>
    <s v="Yes"/>
    <s v="Needs Improvement"/>
  </r>
  <r>
    <s v="SHP1032"/>
    <d v="2026-02-19T00:00:00"/>
    <d v="2026-02-21T00:00:00"/>
    <d v="2026-02-25T00:00:00"/>
    <s v="Delhi"/>
    <s v="Mumbai"/>
    <x v="0"/>
    <n v="1767"/>
    <x v="1"/>
    <n v="8"/>
    <n v="10602"/>
    <n v="7"/>
    <x v="26"/>
    <n v="13"/>
    <n v="3.8"/>
    <x v="2"/>
    <s v="High"/>
    <s v="Poor"/>
    <n v="3"/>
    <n v="4"/>
    <x v="1"/>
    <s v="Delayed"/>
    <s v="Retail"/>
    <s v="Food"/>
    <s v="Medium"/>
    <n v="3.1"/>
    <n v="6"/>
    <s v="Yes"/>
    <s v="Needs Improvement"/>
  </r>
  <r>
    <s v="SHP1033"/>
    <d v="2026-02-13T00:00:00"/>
    <d v="2026-02-15T00:00:00"/>
    <d v="2026-02-21T00:00:00"/>
    <s v="Lucknow"/>
    <s v="Delhi"/>
    <x v="7"/>
    <n v="1683"/>
    <x v="2"/>
    <n v="8"/>
    <n v="11781"/>
    <n v="9"/>
    <x v="2"/>
    <n v="1"/>
    <n v="4.8"/>
    <x v="0"/>
    <s v="Low"/>
    <s v="Poor"/>
    <n v="3"/>
    <n v="6"/>
    <x v="3"/>
    <s v="Delayed"/>
    <s v="Corporate"/>
    <s v="Food"/>
    <s v="Low"/>
    <n v="3.1"/>
    <n v="7"/>
    <s v="Yes"/>
    <s v="Needs Improvement"/>
  </r>
  <r>
    <s v="SHP1034"/>
    <d v="2026-02-18T00:00:00"/>
    <d v="2026-02-19T00:00:00"/>
    <d v="2026-02-21T00:00:00"/>
    <s v="Chennai"/>
    <s v="Bangalore"/>
    <x v="1"/>
    <n v="1131"/>
    <x v="0"/>
    <n v="6"/>
    <n v="13572"/>
    <n v="8"/>
    <x v="1"/>
    <n v="13"/>
    <n v="4.9000000000000004"/>
    <x v="2"/>
    <s v="Medium"/>
    <s v="Good"/>
    <n v="2"/>
    <n v="2"/>
    <x v="0"/>
    <s v="On Time"/>
    <s v="Wholesale"/>
    <s v="Machinery"/>
    <s v="Low"/>
    <n v="5"/>
    <n v="12"/>
    <s v="No"/>
    <s v="Efficient"/>
  </r>
  <r>
    <s v="SHP1035"/>
    <d v="2026-02-14T00:00:00"/>
    <d v="2026-02-14T00:00:00"/>
    <d v="2026-02-19T00:00:00"/>
    <s v="Bhopal"/>
    <s v="Pune"/>
    <x v="4"/>
    <n v="1799"/>
    <x v="3"/>
    <n v="1"/>
    <n v="12593"/>
    <n v="6"/>
    <x v="27"/>
    <n v="10"/>
    <n v="3.3"/>
    <x v="1"/>
    <s v="Medium"/>
    <s v="Poor"/>
    <n v="3"/>
    <n v="5"/>
    <x v="2"/>
    <s v="Delayed"/>
    <s v="Corporate"/>
    <s v="Food"/>
    <s v="High"/>
    <n v="3.5"/>
    <n v="7"/>
    <s v="Yes"/>
    <s v="Needs Improvement"/>
  </r>
  <r>
    <s v="SHP1036"/>
    <d v="2026-02-17T00:00:00"/>
    <d v="2026-02-17T00:00:00"/>
    <d v="2026-02-20T00:00:00"/>
    <s v="Bhopal"/>
    <s v="Pune"/>
    <x v="4"/>
    <n v="1792"/>
    <x v="2"/>
    <n v="5"/>
    <n v="10752"/>
    <n v="9"/>
    <x v="27"/>
    <n v="15"/>
    <n v="3.6"/>
    <x v="2"/>
    <s v="Medium"/>
    <s v="Poor"/>
    <n v="3"/>
    <n v="3"/>
    <x v="0"/>
    <s v="On Time"/>
    <s v="Wholesale"/>
    <s v="Furniture"/>
    <s v="Low"/>
    <n v="4.4000000000000004"/>
    <n v="6"/>
    <s v="No"/>
    <s v="Efficient"/>
  </r>
  <r>
    <s v="SHP1037"/>
    <d v="2026-02-08T00:00:00"/>
    <d v="2026-02-10T00:00:00"/>
    <d v="2026-02-13T00:00:00"/>
    <s v="Bhopal"/>
    <s v="Pune"/>
    <x v="4"/>
    <n v="1359"/>
    <x v="3"/>
    <n v="6"/>
    <n v="13590"/>
    <n v="8"/>
    <x v="15"/>
    <n v="6"/>
    <n v="3.1"/>
    <x v="3"/>
    <s v="Low"/>
    <s v="Average"/>
    <n v="3"/>
    <n v="3"/>
    <x v="0"/>
    <s v="On Time"/>
    <s v="Retail"/>
    <s v="Clothing"/>
    <s v="High"/>
    <n v="4.8"/>
    <n v="10"/>
    <s v="No"/>
    <s v="Efficient"/>
  </r>
  <r>
    <s v="SHP1038"/>
    <d v="2026-02-28T00:00:00"/>
    <d v="2026-03-02T00:00:00"/>
    <d v="2026-03-08T00:00:00"/>
    <s v="Indore"/>
    <s v="Hyderabad"/>
    <x v="5"/>
    <n v="1091"/>
    <x v="2"/>
    <n v="9"/>
    <n v="12001"/>
    <n v="7"/>
    <x v="28"/>
    <n v="13"/>
    <n v="4.8"/>
    <x v="2"/>
    <s v="Medium"/>
    <s v="Average"/>
    <n v="2"/>
    <n v="6"/>
    <x v="4"/>
    <s v="Delayed"/>
    <s v="Retail"/>
    <s v="Clothing"/>
    <s v="Low"/>
    <n v="4.7"/>
    <n v="11"/>
    <s v="Yes"/>
    <s v="Needs Improvement"/>
  </r>
  <r>
    <s v="SHP1039"/>
    <d v="2026-01-12T00:00:00"/>
    <d v="2026-01-13T00:00:00"/>
    <d v="2026-01-15T00:00:00"/>
    <s v="Nagpur"/>
    <s v="Surat"/>
    <x v="6"/>
    <n v="699"/>
    <x v="1"/>
    <n v="10"/>
    <n v="6990"/>
    <n v="10"/>
    <x v="6"/>
    <n v="6"/>
    <n v="3.1"/>
    <x v="3"/>
    <s v="Low"/>
    <s v="Average"/>
    <n v="1"/>
    <n v="2"/>
    <x v="1"/>
    <s v="Delayed"/>
    <s v="Retail"/>
    <s v="Clothing"/>
    <s v="Medium"/>
    <n v="4.8"/>
    <n v="10"/>
    <s v="Yes"/>
    <s v="Needs Improvement"/>
  </r>
  <r>
    <s v="SHP1040"/>
    <d v="2026-03-31T00:00:00"/>
    <d v="2026-04-01T00:00:00"/>
    <d v="2026-04-03T00:00:00"/>
    <s v="Delhi"/>
    <s v="Mumbai"/>
    <x v="0"/>
    <n v="1258"/>
    <x v="2"/>
    <n v="2"/>
    <n v="8806"/>
    <n v="10"/>
    <x v="19"/>
    <n v="8"/>
    <n v="4.0999999999999996"/>
    <x v="1"/>
    <s v="High"/>
    <s v="Average"/>
    <n v="2"/>
    <n v="2"/>
    <x v="0"/>
    <s v="On Time"/>
    <s v="Corporate"/>
    <s v="Clothing"/>
    <s v="Low"/>
    <n v="3.8"/>
    <n v="7"/>
    <s v="No"/>
    <s v="Efficient"/>
  </r>
  <r>
    <s v="SHP1041"/>
    <d v="2026-02-01T00:00:00"/>
    <d v="2026-02-02T00:00:00"/>
    <d v="2026-02-04T00:00:00"/>
    <s v="Ahmedabad"/>
    <s v="Jaipur"/>
    <x v="2"/>
    <n v="1169"/>
    <x v="0"/>
    <n v="7"/>
    <n v="12859"/>
    <n v="9"/>
    <x v="29"/>
    <n v="6"/>
    <n v="4.4000000000000004"/>
    <x v="3"/>
    <s v="Medium"/>
    <s v="Average"/>
    <n v="2"/>
    <n v="2"/>
    <x v="0"/>
    <s v="On Time"/>
    <s v="Wholesale"/>
    <s v="Furniture"/>
    <s v="Medium"/>
    <n v="3.2"/>
    <n v="11"/>
    <s v="No"/>
    <s v="Efficient"/>
  </r>
  <r>
    <s v="SHP1042"/>
    <d v="2026-03-10T00:00:00"/>
    <d v="2026-03-12T00:00:00"/>
    <d v="2026-03-14T00:00:00"/>
    <s v="Indore"/>
    <s v="Hyderabad"/>
    <x v="5"/>
    <n v="592"/>
    <x v="2"/>
    <n v="8"/>
    <n v="4736"/>
    <n v="10"/>
    <x v="30"/>
    <n v="13"/>
    <n v="4"/>
    <x v="3"/>
    <s v="Low"/>
    <s v="Good"/>
    <n v="1"/>
    <n v="2"/>
    <x v="1"/>
    <s v="Delayed"/>
    <s v="Retail"/>
    <s v="Furniture"/>
    <s v="Medium"/>
    <n v="3"/>
    <n v="8"/>
    <s v="Yes"/>
    <s v="Needs Improvement"/>
  </r>
  <r>
    <s v="SHP1043"/>
    <d v="2026-03-10T00:00:00"/>
    <d v="2026-03-10T00:00:00"/>
    <d v="2026-03-13T00:00:00"/>
    <s v="Kolkata"/>
    <s v="Patna"/>
    <x v="3"/>
    <n v="293"/>
    <x v="3"/>
    <n v="9"/>
    <n v="2344"/>
    <n v="10"/>
    <x v="31"/>
    <n v="11"/>
    <n v="4.7"/>
    <x v="2"/>
    <s v="Low"/>
    <s v="Good"/>
    <n v="1"/>
    <n v="3"/>
    <x v="2"/>
    <s v="Delayed"/>
    <s v="Retail"/>
    <s v="Food"/>
    <s v="Medium"/>
    <n v="3.7"/>
    <n v="8"/>
    <s v="Yes"/>
    <s v="Needs Improvement"/>
  </r>
  <r>
    <s v="SHP1044"/>
    <d v="2026-01-07T00:00:00"/>
    <d v="2026-01-08T00:00:00"/>
    <d v="2026-01-09T00:00:00"/>
    <s v="Nagpur"/>
    <s v="Surat"/>
    <x v="6"/>
    <n v="433"/>
    <x v="3"/>
    <n v="7"/>
    <n v="3897"/>
    <n v="5"/>
    <x v="16"/>
    <n v="11"/>
    <n v="4.4000000000000004"/>
    <x v="1"/>
    <s v="Low"/>
    <s v="Poor"/>
    <n v="1"/>
    <n v="1"/>
    <x v="0"/>
    <s v="On Time"/>
    <s v="Corporate"/>
    <s v="Electronics"/>
    <s v="High"/>
    <n v="4.5"/>
    <n v="9"/>
    <s v="No"/>
    <s v="Efficient"/>
  </r>
  <r>
    <s v="SHP1045"/>
    <d v="2026-03-19T00:00:00"/>
    <d v="2026-03-21T00:00:00"/>
    <d v="2026-03-25T00:00:00"/>
    <s v="Chennai"/>
    <s v="Bangalore"/>
    <x v="1"/>
    <n v="1788"/>
    <x v="1"/>
    <n v="8"/>
    <n v="16092"/>
    <n v="7"/>
    <x v="30"/>
    <n v="7"/>
    <n v="3.6"/>
    <x v="0"/>
    <s v="High"/>
    <s v="Poor"/>
    <n v="3"/>
    <n v="4"/>
    <x v="1"/>
    <s v="Delayed"/>
    <s v="Wholesale"/>
    <s v="Furniture"/>
    <s v="Medium"/>
    <n v="4.3"/>
    <n v="9"/>
    <s v="Yes"/>
    <s v="Needs Improvement"/>
  </r>
  <r>
    <s v="SHP1046"/>
    <d v="2026-01-21T00:00:00"/>
    <d v="2026-01-21T00:00:00"/>
    <d v="2026-01-25T00:00:00"/>
    <s v="Indore"/>
    <s v="Hyderabad"/>
    <x v="5"/>
    <n v="1330"/>
    <x v="3"/>
    <n v="3"/>
    <n v="7980"/>
    <n v="8"/>
    <x v="25"/>
    <n v="12"/>
    <n v="4.2"/>
    <x v="3"/>
    <s v="Low"/>
    <s v="Good"/>
    <n v="2"/>
    <n v="4"/>
    <x v="2"/>
    <s v="Delayed"/>
    <s v="Retail"/>
    <s v="Food"/>
    <s v="Low"/>
    <n v="4.4000000000000004"/>
    <n v="6"/>
    <s v="Yes"/>
    <s v="Needs Improvement"/>
  </r>
  <r>
    <s v="SHP1047"/>
    <d v="2026-04-29T00:00:00"/>
    <d v="2026-04-30T00:00:00"/>
    <d v="2026-05-03T00:00:00"/>
    <s v="Chennai"/>
    <s v="Bangalore"/>
    <x v="1"/>
    <n v="1070"/>
    <x v="3"/>
    <n v="9"/>
    <n v="7490"/>
    <n v="10"/>
    <x v="5"/>
    <n v="15"/>
    <n v="3.5"/>
    <x v="1"/>
    <s v="Low"/>
    <s v="Good"/>
    <n v="2"/>
    <n v="3"/>
    <x v="1"/>
    <s v="Delayed"/>
    <s v="Wholesale"/>
    <s v="Machinery"/>
    <s v="Medium"/>
    <n v="3.9"/>
    <n v="7"/>
    <s v="Yes"/>
    <s v="Needs Improvement"/>
  </r>
  <r>
    <s v="SHP1048"/>
    <d v="2026-03-01T00:00:00"/>
    <d v="2026-03-03T00:00:00"/>
    <d v="2026-03-07T00:00:00"/>
    <s v="Kolkata"/>
    <s v="Patna"/>
    <x v="3"/>
    <n v="1633"/>
    <x v="1"/>
    <n v="5"/>
    <n v="16330"/>
    <n v="9"/>
    <x v="32"/>
    <n v="8"/>
    <n v="3.2"/>
    <x v="0"/>
    <s v="Medium"/>
    <s v="Poor"/>
    <n v="3"/>
    <n v="4"/>
    <x v="1"/>
    <s v="Delayed"/>
    <s v="Wholesale"/>
    <s v="Clothing"/>
    <s v="Low"/>
    <n v="3.2"/>
    <n v="10"/>
    <s v="Yes"/>
    <s v="Needs Improvement"/>
  </r>
  <r>
    <s v="SHP1049"/>
    <d v="2026-03-28T00:00:00"/>
    <d v="2026-03-30T00:00:00"/>
    <d v="2026-04-05T00:00:00"/>
    <s v="Delhi"/>
    <s v="Mumbai"/>
    <x v="0"/>
    <n v="1766"/>
    <x v="0"/>
    <n v="10"/>
    <n v="10596"/>
    <n v="6"/>
    <x v="20"/>
    <n v="9"/>
    <n v="4.3"/>
    <x v="3"/>
    <s v="Low"/>
    <s v="Poor"/>
    <n v="3"/>
    <n v="6"/>
    <x v="3"/>
    <s v="Delayed"/>
    <s v="Corporate"/>
    <s v="Food"/>
    <s v="Medium"/>
    <n v="3.8"/>
    <n v="6"/>
    <s v="Yes"/>
    <s v="Needs Improvement"/>
  </r>
  <r>
    <s v="SHP1050"/>
    <d v="2026-02-11T00:00:00"/>
    <d v="2026-02-13T00:00:00"/>
    <d v="2026-02-15T00:00:00"/>
    <s v="Bhopal"/>
    <s v="Pune"/>
    <x v="4"/>
    <n v="529"/>
    <x v="0"/>
    <n v="7"/>
    <n v="5819"/>
    <n v="8"/>
    <x v="13"/>
    <n v="11"/>
    <n v="4.9000000000000004"/>
    <x v="0"/>
    <s v="Medium"/>
    <s v="Good"/>
    <n v="1"/>
    <n v="2"/>
    <x v="1"/>
    <s v="Delayed"/>
    <s v="Retail"/>
    <s v="Clothing"/>
    <s v="Low"/>
    <n v="4.9000000000000004"/>
    <n v="11"/>
    <s v="Yes"/>
    <s v="Needs Improvement"/>
  </r>
  <r>
    <s v="SHP1051"/>
    <d v="2026-02-21T00:00:00"/>
    <d v="2026-02-23T00:00:00"/>
    <d v="2026-02-27T00:00:00"/>
    <s v="Delhi"/>
    <s v="Mumbai"/>
    <x v="0"/>
    <n v="1546"/>
    <x v="1"/>
    <n v="7"/>
    <n v="9276"/>
    <n v="6"/>
    <x v="9"/>
    <n v="6"/>
    <n v="4.2"/>
    <x v="2"/>
    <s v="High"/>
    <s v="Average"/>
    <n v="3"/>
    <n v="4"/>
    <x v="1"/>
    <s v="Delayed"/>
    <s v="Wholesale"/>
    <s v="Furniture"/>
    <s v="Medium"/>
    <n v="3.9"/>
    <n v="6"/>
    <s v="Yes"/>
    <s v="Needs Improvement"/>
  </r>
  <r>
    <s v="SHP1052"/>
    <d v="2026-03-31T00:00:00"/>
    <d v="2026-04-01T00:00:00"/>
    <d v="2026-04-02T00:00:00"/>
    <s v="Bhopal"/>
    <s v="Pune"/>
    <x v="4"/>
    <n v="259"/>
    <x v="2"/>
    <n v="3"/>
    <n v="2072"/>
    <n v="9"/>
    <x v="33"/>
    <n v="9"/>
    <n v="3.8"/>
    <x v="1"/>
    <s v="Low"/>
    <s v="Average"/>
    <n v="1"/>
    <n v="1"/>
    <x v="0"/>
    <s v="On Time"/>
    <s v="Retail"/>
    <s v="Clothing"/>
    <s v="High"/>
    <n v="4.4000000000000004"/>
    <n v="8"/>
    <s v="No"/>
    <s v="Efficient"/>
  </r>
  <r>
    <s v="SHP1053"/>
    <d v="2026-02-23T00:00:00"/>
    <d v="2026-02-24T00:00:00"/>
    <d v="2026-02-27T00:00:00"/>
    <s v="Nagpur"/>
    <s v="Surat"/>
    <x v="6"/>
    <n v="699"/>
    <x v="1"/>
    <n v="9"/>
    <n v="4893"/>
    <n v="8"/>
    <x v="34"/>
    <n v="15"/>
    <n v="4.2"/>
    <x v="1"/>
    <s v="Low"/>
    <s v="Average"/>
    <n v="1"/>
    <n v="3"/>
    <x v="2"/>
    <s v="Delayed"/>
    <s v="Wholesale"/>
    <s v="Clothing"/>
    <s v="Low"/>
    <n v="3.6"/>
    <n v="7"/>
    <s v="Yes"/>
    <s v="Needs Improvement"/>
  </r>
  <r>
    <s v="SHP1054"/>
    <d v="2026-02-08T00:00:00"/>
    <d v="2026-02-10T00:00:00"/>
    <d v="2026-02-13T00:00:00"/>
    <s v="Nagpur"/>
    <s v="Surat"/>
    <x v="6"/>
    <n v="504"/>
    <x v="1"/>
    <n v="9"/>
    <n v="4536"/>
    <n v="7"/>
    <x v="29"/>
    <n v="9"/>
    <n v="4.5"/>
    <x v="2"/>
    <s v="Medium"/>
    <s v="Average"/>
    <n v="1"/>
    <n v="3"/>
    <x v="2"/>
    <s v="Delayed"/>
    <s v="Corporate"/>
    <s v="Machinery"/>
    <s v="Medium"/>
    <n v="3.5"/>
    <n v="9"/>
    <s v="Yes"/>
    <s v="Needs Improvement"/>
  </r>
  <r>
    <s v="SHP1055"/>
    <d v="2026-04-10T00:00:00"/>
    <d v="2026-04-11T00:00:00"/>
    <d v="2026-04-14T00:00:00"/>
    <s v="Delhi"/>
    <s v="Mumbai"/>
    <x v="0"/>
    <n v="851"/>
    <x v="1"/>
    <n v="7"/>
    <n v="7659"/>
    <n v="10"/>
    <x v="12"/>
    <n v="3"/>
    <n v="4"/>
    <x v="0"/>
    <s v="Low"/>
    <s v="Poor"/>
    <n v="1"/>
    <n v="3"/>
    <x v="2"/>
    <s v="Delayed"/>
    <s v="Retail"/>
    <s v="Electronics"/>
    <s v="Medium"/>
    <n v="3.2"/>
    <n v="9"/>
    <s v="Yes"/>
    <s v="Needs Improvement"/>
  </r>
  <r>
    <s v="SHP1056"/>
    <d v="2026-04-27T00:00:00"/>
    <d v="2026-04-28T00:00:00"/>
    <d v="2026-05-04T00:00:00"/>
    <s v="Delhi"/>
    <s v="Mumbai"/>
    <x v="0"/>
    <n v="1679"/>
    <x v="2"/>
    <n v="7"/>
    <n v="20148"/>
    <n v="10"/>
    <x v="5"/>
    <n v="2"/>
    <n v="3.9"/>
    <x v="3"/>
    <s v="Medium"/>
    <s v="Poor"/>
    <n v="3"/>
    <n v="6"/>
    <x v="3"/>
    <s v="Delayed"/>
    <s v="Wholesale"/>
    <s v="Electronics"/>
    <s v="Medium"/>
    <n v="4.7"/>
    <n v="12"/>
    <s v="Yes"/>
    <s v="Needs Improvement"/>
  </r>
  <r>
    <s v="SHP1057"/>
    <d v="2026-04-20T00:00:00"/>
    <d v="2026-04-22T00:00:00"/>
    <d v="2026-04-26T00:00:00"/>
    <s v="Lucknow"/>
    <s v="Delhi"/>
    <x v="7"/>
    <n v="848"/>
    <x v="1"/>
    <n v="9"/>
    <n v="5088"/>
    <n v="9"/>
    <x v="35"/>
    <n v="4"/>
    <n v="4.3"/>
    <x v="3"/>
    <s v="Low"/>
    <s v="Poor"/>
    <n v="1"/>
    <n v="4"/>
    <x v="3"/>
    <s v="Delayed"/>
    <s v="Corporate"/>
    <s v="Electronics"/>
    <s v="Medium"/>
    <n v="3.3"/>
    <n v="6"/>
    <s v="Yes"/>
    <s v="Needs Improvement"/>
  </r>
  <r>
    <s v="SHP1058"/>
    <d v="2026-02-08T00:00:00"/>
    <d v="2026-02-08T00:00:00"/>
    <d v="2026-02-10T00:00:00"/>
    <s v="Delhi"/>
    <s v="Mumbai"/>
    <x v="0"/>
    <n v="864"/>
    <x v="3"/>
    <n v="5"/>
    <n v="6912"/>
    <n v="7"/>
    <x v="22"/>
    <n v="3"/>
    <n v="3.5"/>
    <x v="2"/>
    <s v="High"/>
    <s v="Poor"/>
    <n v="1"/>
    <n v="2"/>
    <x v="1"/>
    <s v="Delayed"/>
    <s v="Corporate"/>
    <s v="Machinery"/>
    <s v="Medium"/>
    <n v="4.2"/>
    <n v="8"/>
    <s v="Yes"/>
    <s v="Needs Improvement"/>
  </r>
  <r>
    <s v="SHP1059"/>
    <d v="2026-01-31T00:00:00"/>
    <d v="2026-02-01T00:00:00"/>
    <d v="2026-02-03T00:00:00"/>
    <s v="Indore"/>
    <s v="Hyderabad"/>
    <x v="5"/>
    <n v="675"/>
    <x v="1"/>
    <n v="5"/>
    <n v="6075"/>
    <n v="7"/>
    <x v="15"/>
    <n v="1"/>
    <n v="4.8"/>
    <x v="2"/>
    <s v="Medium"/>
    <s v="Poor"/>
    <n v="1"/>
    <n v="2"/>
    <x v="1"/>
    <s v="Delayed"/>
    <s v="Corporate"/>
    <s v="Food"/>
    <s v="Medium"/>
    <n v="5"/>
    <n v="9"/>
    <s v="Yes"/>
    <s v="Needs Improvement"/>
  </r>
  <r>
    <s v="SHP1060"/>
    <d v="2026-02-08T00:00:00"/>
    <d v="2026-02-10T00:00:00"/>
    <d v="2026-02-15T00:00:00"/>
    <s v="Lucknow"/>
    <s v="Delhi"/>
    <x v="7"/>
    <n v="1613"/>
    <x v="0"/>
    <n v="8"/>
    <n v="19356"/>
    <n v="7"/>
    <x v="34"/>
    <n v="7"/>
    <n v="4.7"/>
    <x v="0"/>
    <s v="Low"/>
    <s v="Average"/>
    <n v="3"/>
    <n v="5"/>
    <x v="2"/>
    <s v="Delayed"/>
    <s v="Retail"/>
    <s v="Machinery"/>
    <s v="Medium"/>
    <n v="5"/>
    <n v="12"/>
    <s v="Yes"/>
    <s v="Needs Improvement"/>
  </r>
  <r>
    <s v="SHP1061"/>
    <d v="2026-02-07T00:00:00"/>
    <d v="2026-02-07T00:00:00"/>
    <d v="2026-02-10T00:00:00"/>
    <s v="Lucknow"/>
    <s v="Delhi"/>
    <x v="7"/>
    <n v="762"/>
    <x v="3"/>
    <n v="10"/>
    <n v="9144"/>
    <n v="10"/>
    <x v="36"/>
    <n v="12"/>
    <n v="4.9000000000000004"/>
    <x v="2"/>
    <s v="Medium"/>
    <s v="Good"/>
    <n v="1"/>
    <n v="3"/>
    <x v="2"/>
    <s v="Delayed"/>
    <s v="Corporate"/>
    <s v="Furniture"/>
    <s v="High"/>
    <n v="3.5"/>
    <n v="12"/>
    <s v="Yes"/>
    <s v="Needs Improvement"/>
  </r>
  <r>
    <s v="SHP1062"/>
    <d v="2026-04-07T00:00:00"/>
    <d v="2026-04-09T00:00:00"/>
    <d v="2026-04-14T00:00:00"/>
    <s v="Indore"/>
    <s v="Hyderabad"/>
    <x v="5"/>
    <n v="1486"/>
    <x v="3"/>
    <n v="1"/>
    <n v="11888"/>
    <n v="8"/>
    <x v="37"/>
    <n v="10"/>
    <n v="3.7"/>
    <x v="1"/>
    <s v="Low"/>
    <s v="Average"/>
    <n v="3"/>
    <n v="5"/>
    <x v="2"/>
    <s v="Delayed"/>
    <s v="Retail"/>
    <s v="Furniture"/>
    <s v="Low"/>
    <n v="3.3"/>
    <n v="8"/>
    <s v="Yes"/>
    <s v="Needs Improvement"/>
  </r>
  <r>
    <s v="SHP1063"/>
    <d v="2026-03-11T00:00:00"/>
    <d v="2026-03-12T00:00:00"/>
    <d v="2026-03-13T00:00:00"/>
    <s v="Kolkata"/>
    <s v="Patna"/>
    <x v="3"/>
    <n v="536"/>
    <x v="0"/>
    <n v="8"/>
    <n v="6432"/>
    <n v="7"/>
    <x v="0"/>
    <n v="14"/>
    <n v="3.7"/>
    <x v="0"/>
    <s v="Medium"/>
    <s v="Good"/>
    <n v="1"/>
    <n v="1"/>
    <x v="0"/>
    <s v="On Time"/>
    <s v="Corporate"/>
    <s v="Food"/>
    <s v="High"/>
    <n v="3.7"/>
    <n v="12"/>
    <s v="No"/>
    <s v="Efficient"/>
  </r>
  <r>
    <s v="SHP1064"/>
    <d v="2026-04-12T00:00:00"/>
    <d v="2026-04-13T00:00:00"/>
    <d v="2026-04-15T00:00:00"/>
    <s v="Delhi"/>
    <s v="Mumbai"/>
    <x v="0"/>
    <n v="741"/>
    <x v="3"/>
    <n v="8"/>
    <n v="5928"/>
    <n v="10"/>
    <x v="0"/>
    <n v="11"/>
    <n v="3.5"/>
    <x v="2"/>
    <s v="High"/>
    <s v="Average"/>
    <n v="1"/>
    <n v="2"/>
    <x v="1"/>
    <s v="Delayed"/>
    <s v="Retail"/>
    <s v="Electronics"/>
    <s v="High"/>
    <n v="4.8"/>
    <n v="8"/>
    <s v="Yes"/>
    <s v="Needs Improvement"/>
  </r>
  <r>
    <s v="SHP1065"/>
    <d v="2026-03-13T00:00:00"/>
    <d v="2026-03-14T00:00:00"/>
    <d v="2026-03-18T00:00:00"/>
    <s v="Chennai"/>
    <s v="Bangalore"/>
    <x v="1"/>
    <n v="1526"/>
    <x v="3"/>
    <n v="8"/>
    <n v="16786"/>
    <n v="7"/>
    <x v="12"/>
    <n v="7"/>
    <n v="3.2"/>
    <x v="0"/>
    <s v="Low"/>
    <s v="Average"/>
    <n v="3"/>
    <n v="4"/>
    <x v="1"/>
    <s v="Delayed"/>
    <s v="Corporate"/>
    <s v="Electronics"/>
    <s v="Low"/>
    <n v="4.8"/>
    <n v="11"/>
    <s v="Yes"/>
    <s v="Needs Improvement"/>
  </r>
  <r>
    <s v="SHP1066"/>
    <d v="2026-01-18T00:00:00"/>
    <d v="2026-01-19T00:00:00"/>
    <d v="2026-01-24T00:00:00"/>
    <s v="Nagpur"/>
    <s v="Surat"/>
    <x v="6"/>
    <n v="959"/>
    <x v="1"/>
    <n v="10"/>
    <n v="10549"/>
    <n v="10"/>
    <x v="5"/>
    <n v="15"/>
    <n v="3.8"/>
    <x v="0"/>
    <s v="Medium"/>
    <s v="Poor"/>
    <n v="2"/>
    <n v="5"/>
    <x v="3"/>
    <s v="Delayed"/>
    <s v="Retail"/>
    <s v="Electronics"/>
    <s v="High"/>
    <n v="3.7"/>
    <n v="11"/>
    <s v="Yes"/>
    <s v="Needs Improvement"/>
  </r>
  <r>
    <s v="SHP1067"/>
    <d v="2026-02-26T00:00:00"/>
    <d v="2026-02-27T00:00:00"/>
    <d v="2026-03-01T00:00:00"/>
    <s v="Chennai"/>
    <s v="Bangalore"/>
    <x v="1"/>
    <n v="942"/>
    <x v="3"/>
    <n v="6"/>
    <n v="9420"/>
    <n v="10"/>
    <x v="38"/>
    <n v="1"/>
    <n v="3.8"/>
    <x v="1"/>
    <s v="Low"/>
    <s v="Average"/>
    <n v="2"/>
    <n v="2"/>
    <x v="0"/>
    <s v="On Time"/>
    <s v="Wholesale"/>
    <s v="Machinery"/>
    <s v="Low"/>
    <n v="3.1"/>
    <n v="10"/>
    <s v="No"/>
    <s v="Efficient"/>
  </r>
  <r>
    <s v="SHP1068"/>
    <d v="2026-02-12T00:00:00"/>
    <d v="2026-02-12T00:00:00"/>
    <d v="2026-02-15T00:00:00"/>
    <s v="Indore"/>
    <s v="Hyderabad"/>
    <x v="5"/>
    <n v="1356"/>
    <x v="2"/>
    <n v="2"/>
    <n v="16272"/>
    <n v="9"/>
    <x v="11"/>
    <n v="10"/>
    <n v="3.4"/>
    <x v="1"/>
    <s v="Medium"/>
    <s v="Good"/>
    <n v="3"/>
    <n v="3"/>
    <x v="0"/>
    <s v="On Time"/>
    <s v="Retail"/>
    <s v="Furniture"/>
    <s v="Low"/>
    <n v="4.0999999999999996"/>
    <n v="12"/>
    <s v="No"/>
    <s v="Efficient"/>
  </r>
  <r>
    <s v="SHP1069"/>
    <d v="2026-04-13T00:00:00"/>
    <d v="2026-04-13T00:00:00"/>
    <d v="2026-04-17T00:00:00"/>
    <s v="Bhopal"/>
    <s v="Pune"/>
    <x v="4"/>
    <n v="1553"/>
    <x v="3"/>
    <n v="3"/>
    <n v="9318"/>
    <n v="7"/>
    <x v="24"/>
    <n v="10"/>
    <n v="3.6"/>
    <x v="1"/>
    <s v="Medium"/>
    <s v="Good"/>
    <n v="3"/>
    <n v="4"/>
    <x v="1"/>
    <s v="Delayed"/>
    <s v="Wholesale"/>
    <s v="Electronics"/>
    <s v="High"/>
    <n v="3.1"/>
    <n v="6"/>
    <s v="Yes"/>
    <s v="Needs Improvement"/>
  </r>
  <r>
    <s v="SHP1070"/>
    <d v="2026-02-27T00:00:00"/>
    <d v="2026-02-28T00:00:00"/>
    <d v="2026-03-03T00:00:00"/>
    <s v="Bhopal"/>
    <s v="Pune"/>
    <x v="4"/>
    <n v="1125"/>
    <x v="2"/>
    <n v="10"/>
    <n v="6750"/>
    <n v="10"/>
    <x v="15"/>
    <n v="9"/>
    <n v="3.6"/>
    <x v="0"/>
    <s v="Low"/>
    <s v="Average"/>
    <n v="2"/>
    <n v="3"/>
    <x v="1"/>
    <s v="Delayed"/>
    <s v="Retail"/>
    <s v="Electronics"/>
    <s v="Medium"/>
    <n v="4.4000000000000004"/>
    <n v="6"/>
    <s v="Yes"/>
    <s v="Needs Improvement"/>
  </r>
  <r>
    <s v="SHP1071"/>
    <d v="2026-02-26T00:00:00"/>
    <d v="2026-02-26T00:00:00"/>
    <d v="2026-03-01T00:00:00"/>
    <s v="Bhopal"/>
    <s v="Pune"/>
    <x v="4"/>
    <n v="859"/>
    <x v="2"/>
    <n v="2"/>
    <n v="6013"/>
    <n v="7"/>
    <x v="28"/>
    <n v="11"/>
    <n v="4.2"/>
    <x v="3"/>
    <s v="Medium"/>
    <s v="Poor"/>
    <n v="1"/>
    <n v="3"/>
    <x v="2"/>
    <s v="Delayed"/>
    <s v="Retail"/>
    <s v="Machinery"/>
    <s v="High"/>
    <n v="3.9"/>
    <n v="7"/>
    <s v="Yes"/>
    <s v="Needs Improvement"/>
  </r>
  <r>
    <s v="SHP1072"/>
    <d v="2026-04-12T00:00:00"/>
    <d v="2026-04-14T00:00:00"/>
    <d v="2026-04-18T00:00:00"/>
    <s v="Bhopal"/>
    <s v="Pune"/>
    <x v="4"/>
    <n v="1540"/>
    <x v="2"/>
    <n v="7"/>
    <n v="13860"/>
    <n v="6"/>
    <x v="19"/>
    <n v="6"/>
    <n v="4.7"/>
    <x v="2"/>
    <s v="Medium"/>
    <s v="Poor"/>
    <n v="3"/>
    <n v="4"/>
    <x v="1"/>
    <s v="Delayed"/>
    <s v="Retail"/>
    <s v="Clothing"/>
    <s v="High"/>
    <n v="3.5"/>
    <n v="9"/>
    <s v="Yes"/>
    <s v="Needs Improvement"/>
  </r>
  <r>
    <s v="SHP1073"/>
    <d v="2026-01-20T00:00:00"/>
    <d v="2026-01-22T00:00:00"/>
    <d v="2026-01-23T00:00:00"/>
    <s v="Nagpur"/>
    <s v="Surat"/>
    <x v="6"/>
    <n v="337"/>
    <x v="3"/>
    <n v="2"/>
    <n v="2022"/>
    <n v="8"/>
    <x v="17"/>
    <n v="12"/>
    <n v="4.5"/>
    <x v="1"/>
    <s v="High"/>
    <s v="Good"/>
    <n v="1"/>
    <n v="1"/>
    <x v="0"/>
    <s v="On Time"/>
    <s v="Retail"/>
    <s v="Clothing"/>
    <s v="High"/>
    <n v="4.9000000000000004"/>
    <n v="6"/>
    <s v="No"/>
    <s v="Efficient"/>
  </r>
  <r>
    <s v="SHP1074"/>
    <d v="2026-02-24T00:00:00"/>
    <d v="2026-02-26T00:00:00"/>
    <d v="2026-03-01T00:00:00"/>
    <s v="Delhi"/>
    <s v="Mumbai"/>
    <x v="0"/>
    <n v="789"/>
    <x v="0"/>
    <n v="6"/>
    <n v="4734"/>
    <n v="9"/>
    <x v="39"/>
    <n v="4"/>
    <n v="3.3"/>
    <x v="2"/>
    <s v="Low"/>
    <s v="Good"/>
    <n v="1"/>
    <n v="3"/>
    <x v="2"/>
    <s v="Delayed"/>
    <s v="Retail"/>
    <s v="Electronics"/>
    <s v="Medium"/>
    <n v="4.0999999999999996"/>
    <n v="6"/>
    <s v="Yes"/>
    <s v="Needs Improvement"/>
  </r>
  <r>
    <s v="SHP1075"/>
    <d v="2026-04-14T00:00:00"/>
    <d v="2026-04-15T00:00:00"/>
    <d v="2026-04-18T00:00:00"/>
    <s v="Delhi"/>
    <s v="Mumbai"/>
    <x v="0"/>
    <n v="1447"/>
    <x v="0"/>
    <n v="1"/>
    <n v="10129"/>
    <n v="7"/>
    <x v="4"/>
    <n v="13"/>
    <n v="3.6"/>
    <x v="3"/>
    <s v="Medium"/>
    <s v="Good"/>
    <n v="3"/>
    <n v="3"/>
    <x v="0"/>
    <s v="On Time"/>
    <s v="Wholesale"/>
    <s v="Food"/>
    <s v="Low"/>
    <n v="3.3"/>
    <n v="7"/>
    <s v="No"/>
    <s v="Efficient"/>
  </r>
  <r>
    <s v="SHP1076"/>
    <d v="2026-03-23T00:00:00"/>
    <d v="2026-03-23T00:00:00"/>
    <d v="2026-03-27T00:00:00"/>
    <s v="Bhopal"/>
    <s v="Pune"/>
    <x v="4"/>
    <n v="1728"/>
    <x v="2"/>
    <n v="7"/>
    <n v="15552"/>
    <n v="8"/>
    <x v="29"/>
    <n v="3"/>
    <n v="3.7"/>
    <x v="3"/>
    <s v="High"/>
    <s v="Poor"/>
    <n v="3"/>
    <n v="4"/>
    <x v="1"/>
    <s v="Delayed"/>
    <s v="Corporate"/>
    <s v="Machinery"/>
    <s v="Low"/>
    <n v="4.3"/>
    <n v="9"/>
    <s v="Yes"/>
    <s v="Needs Improvement"/>
  </r>
  <r>
    <s v="SHP1077"/>
    <d v="2026-02-04T00:00:00"/>
    <d v="2026-02-05T00:00:00"/>
    <d v="2026-02-10T00:00:00"/>
    <s v="Lucknow"/>
    <s v="Delhi"/>
    <x v="7"/>
    <n v="1194"/>
    <x v="1"/>
    <n v="7"/>
    <n v="9552"/>
    <n v="6"/>
    <x v="40"/>
    <n v="9"/>
    <n v="3.2"/>
    <x v="2"/>
    <s v="Low"/>
    <s v="Average"/>
    <n v="2"/>
    <n v="5"/>
    <x v="3"/>
    <s v="Delayed"/>
    <s v="Wholesale"/>
    <s v="Clothing"/>
    <s v="Low"/>
    <n v="3.4"/>
    <n v="8"/>
    <s v="Yes"/>
    <s v="Needs Improvement"/>
  </r>
  <r>
    <s v="SHP1078"/>
    <d v="2026-03-18T00:00:00"/>
    <d v="2026-03-18T00:00:00"/>
    <d v="2026-03-20T00:00:00"/>
    <s v="Delhi"/>
    <s v="Mumbai"/>
    <x v="0"/>
    <n v="618"/>
    <x v="0"/>
    <n v="4"/>
    <n v="7416"/>
    <n v="6"/>
    <x v="40"/>
    <n v="5"/>
    <n v="3.6"/>
    <x v="0"/>
    <s v="Low"/>
    <s v="Average"/>
    <n v="1"/>
    <n v="2"/>
    <x v="1"/>
    <s v="Delayed"/>
    <s v="Corporate"/>
    <s v="Furniture"/>
    <s v="Medium"/>
    <n v="4.0999999999999996"/>
    <n v="12"/>
    <s v="Yes"/>
    <s v="Needs Improvement"/>
  </r>
  <r>
    <s v="SHP1079"/>
    <d v="2026-01-30T00:00:00"/>
    <d v="2026-02-01T00:00:00"/>
    <d v="2026-02-07T00:00:00"/>
    <s v="Ahmedabad"/>
    <s v="Jaipur"/>
    <x v="2"/>
    <n v="347"/>
    <x v="1"/>
    <n v="1"/>
    <n v="3123"/>
    <n v="5"/>
    <x v="3"/>
    <n v="15"/>
    <n v="3.2"/>
    <x v="3"/>
    <s v="High"/>
    <s v="Average"/>
    <n v="1"/>
    <n v="6"/>
    <x v="5"/>
    <s v="Delayed"/>
    <s v="Retail"/>
    <s v="Clothing"/>
    <s v="Low"/>
    <n v="3.8"/>
    <n v="9"/>
    <s v="Yes"/>
    <s v="Needs Improvement"/>
  </r>
  <r>
    <s v="SHP1080"/>
    <d v="2026-02-11T00:00:00"/>
    <d v="2026-02-11T00:00:00"/>
    <d v="2026-02-15T00:00:00"/>
    <s v="Nagpur"/>
    <s v="Surat"/>
    <x v="6"/>
    <n v="1612"/>
    <x v="0"/>
    <n v="2"/>
    <n v="14508"/>
    <n v="5"/>
    <x v="24"/>
    <n v="7"/>
    <n v="4.2"/>
    <x v="0"/>
    <s v="Medium"/>
    <s v="Average"/>
    <n v="3"/>
    <n v="4"/>
    <x v="1"/>
    <s v="Delayed"/>
    <s v="Corporate"/>
    <s v="Clothing"/>
    <s v="Low"/>
    <n v="3.2"/>
    <n v="9"/>
    <s v="Yes"/>
    <s v="Needs Improvement"/>
  </r>
  <r>
    <s v="SHP1081"/>
    <d v="2026-03-23T00:00:00"/>
    <d v="2026-03-23T00:00:00"/>
    <d v="2026-03-27T00:00:00"/>
    <s v="Chennai"/>
    <s v="Bangalore"/>
    <x v="1"/>
    <n v="1789"/>
    <x v="0"/>
    <n v="6"/>
    <n v="19679"/>
    <n v="10"/>
    <x v="5"/>
    <n v="4"/>
    <n v="3.2"/>
    <x v="3"/>
    <s v="Low"/>
    <s v="Good"/>
    <n v="3"/>
    <n v="4"/>
    <x v="1"/>
    <s v="Delayed"/>
    <s v="Wholesale"/>
    <s v="Electronics"/>
    <s v="Low"/>
    <n v="4.9000000000000004"/>
    <n v="11"/>
    <s v="Yes"/>
    <s v="Needs Improvement"/>
  </r>
  <r>
    <s v="SHP1082"/>
    <d v="2026-03-22T00:00:00"/>
    <d v="2026-03-23T00:00:00"/>
    <d v="2026-03-27T00:00:00"/>
    <s v="Nagpur"/>
    <s v="Surat"/>
    <x v="6"/>
    <n v="1745"/>
    <x v="1"/>
    <n v="10"/>
    <n v="19195"/>
    <n v="10"/>
    <x v="28"/>
    <n v="6"/>
    <n v="4.7"/>
    <x v="3"/>
    <s v="Low"/>
    <s v="Average"/>
    <n v="3"/>
    <n v="4"/>
    <x v="1"/>
    <s v="Delayed"/>
    <s v="Retail"/>
    <s v="Clothing"/>
    <s v="Medium"/>
    <n v="4.2"/>
    <n v="11"/>
    <s v="Yes"/>
    <s v="Needs Improvement"/>
  </r>
  <r>
    <s v="SHP1083"/>
    <d v="2026-02-15T00:00:00"/>
    <d v="2026-02-17T00:00:00"/>
    <d v="2026-02-21T00:00:00"/>
    <s v="Bhopal"/>
    <s v="Pune"/>
    <x v="4"/>
    <n v="835"/>
    <x v="1"/>
    <n v="8"/>
    <n v="5010"/>
    <n v="5"/>
    <x v="8"/>
    <n v="14"/>
    <n v="3.6"/>
    <x v="0"/>
    <s v="High"/>
    <s v="Poor"/>
    <n v="1"/>
    <n v="4"/>
    <x v="3"/>
    <s v="Delayed"/>
    <s v="Wholesale"/>
    <s v="Machinery"/>
    <s v="High"/>
    <n v="4.8"/>
    <n v="6"/>
    <s v="Yes"/>
    <s v="Needs Improvement"/>
  </r>
  <r>
    <s v="SHP1084"/>
    <d v="2026-02-27T00:00:00"/>
    <d v="2026-03-01T00:00:00"/>
    <d v="2026-03-03T00:00:00"/>
    <s v="Chennai"/>
    <s v="Bangalore"/>
    <x v="1"/>
    <n v="858"/>
    <x v="1"/>
    <n v="9"/>
    <n v="6006"/>
    <n v="5"/>
    <x v="25"/>
    <n v="2"/>
    <n v="4.5999999999999996"/>
    <x v="3"/>
    <s v="High"/>
    <s v="Good"/>
    <n v="1"/>
    <n v="2"/>
    <x v="1"/>
    <s v="Delayed"/>
    <s v="Wholesale"/>
    <s v="Food"/>
    <s v="Medium"/>
    <n v="4"/>
    <n v="7"/>
    <s v="Yes"/>
    <s v="Needs Improvement"/>
  </r>
  <r>
    <s v="SHP1085"/>
    <d v="2026-03-20T00:00:00"/>
    <d v="2026-03-20T00:00:00"/>
    <d v="2026-03-23T00:00:00"/>
    <s v="Ahmedabad"/>
    <s v="Jaipur"/>
    <x v="2"/>
    <n v="963"/>
    <x v="0"/>
    <n v="7"/>
    <n v="8667"/>
    <n v="7"/>
    <x v="23"/>
    <n v="10"/>
    <n v="3.1"/>
    <x v="3"/>
    <s v="Low"/>
    <s v="Average"/>
    <n v="2"/>
    <n v="3"/>
    <x v="1"/>
    <s v="Delayed"/>
    <s v="Retail"/>
    <s v="Clothing"/>
    <s v="High"/>
    <n v="4.7"/>
    <n v="9"/>
    <s v="Yes"/>
    <s v="Needs Improvement"/>
  </r>
  <r>
    <s v="SHP1086"/>
    <d v="2026-04-27T00:00:00"/>
    <d v="2026-04-29T00:00:00"/>
    <d v="2026-04-30T00:00:00"/>
    <s v="Indore"/>
    <s v="Hyderabad"/>
    <x v="5"/>
    <n v="882"/>
    <x v="3"/>
    <n v="10"/>
    <n v="9702"/>
    <n v="6"/>
    <x v="38"/>
    <n v="5"/>
    <n v="4.9000000000000004"/>
    <x v="2"/>
    <s v="Low"/>
    <s v="Poor"/>
    <n v="1"/>
    <n v="1"/>
    <x v="0"/>
    <s v="On Time"/>
    <s v="Retail"/>
    <s v="Machinery"/>
    <s v="Medium"/>
    <n v="4.3"/>
    <n v="11"/>
    <s v="No"/>
    <s v="Efficient"/>
  </r>
  <r>
    <s v="SHP1087"/>
    <d v="2026-02-12T00:00:00"/>
    <d v="2026-02-12T00:00:00"/>
    <d v="2026-02-15T00:00:00"/>
    <s v="Bhopal"/>
    <s v="Pune"/>
    <x v="4"/>
    <n v="1523"/>
    <x v="1"/>
    <n v="9"/>
    <n v="12184"/>
    <n v="5"/>
    <x v="8"/>
    <n v="5"/>
    <n v="3.4"/>
    <x v="1"/>
    <s v="Medium"/>
    <s v="Average"/>
    <n v="3"/>
    <n v="3"/>
    <x v="0"/>
    <s v="On Time"/>
    <s v="Corporate"/>
    <s v="Furniture"/>
    <s v="Low"/>
    <n v="3.6"/>
    <n v="8"/>
    <s v="No"/>
    <s v="Efficient"/>
  </r>
  <r>
    <s v="SHP1088"/>
    <d v="2026-04-11T00:00:00"/>
    <d v="2026-04-11T00:00:00"/>
    <d v="2026-04-16T00:00:00"/>
    <s v="Delhi"/>
    <s v="Mumbai"/>
    <x v="0"/>
    <n v="1555"/>
    <x v="0"/>
    <n v="10"/>
    <n v="10885"/>
    <n v="9"/>
    <x v="6"/>
    <n v="3"/>
    <n v="3.3"/>
    <x v="1"/>
    <s v="High"/>
    <s v="Average"/>
    <n v="3"/>
    <n v="5"/>
    <x v="2"/>
    <s v="Delayed"/>
    <s v="Wholesale"/>
    <s v="Furniture"/>
    <s v="Medium"/>
    <n v="4.2"/>
    <n v="7"/>
    <s v="Yes"/>
    <s v="Needs Improvement"/>
  </r>
  <r>
    <s v="SHP1089"/>
    <d v="2026-04-07T00:00:00"/>
    <d v="2026-04-09T00:00:00"/>
    <d v="2026-04-12T00:00:00"/>
    <s v="Nagpur"/>
    <s v="Surat"/>
    <x v="6"/>
    <n v="679"/>
    <x v="2"/>
    <n v="5"/>
    <n v="8148"/>
    <n v="8"/>
    <x v="34"/>
    <n v="6"/>
    <n v="4.4000000000000004"/>
    <x v="2"/>
    <s v="Medium"/>
    <s v="Average"/>
    <n v="1"/>
    <n v="3"/>
    <x v="2"/>
    <s v="Delayed"/>
    <s v="Wholesale"/>
    <s v="Food"/>
    <s v="Low"/>
    <n v="4.5999999999999996"/>
    <n v="12"/>
    <s v="Yes"/>
    <s v="Needs Improvement"/>
  </r>
  <r>
    <s v="SHP1090"/>
    <d v="2026-04-13T00:00:00"/>
    <d v="2026-04-15T00:00:00"/>
    <d v="2026-04-16T00:00:00"/>
    <s v="Indore"/>
    <s v="Hyderabad"/>
    <x v="5"/>
    <n v="712"/>
    <x v="3"/>
    <n v="8"/>
    <n v="8544"/>
    <n v="7"/>
    <x v="10"/>
    <n v="15"/>
    <n v="3.2"/>
    <x v="0"/>
    <s v="Medium"/>
    <s v="Good"/>
    <n v="1"/>
    <n v="1"/>
    <x v="0"/>
    <s v="On Time"/>
    <s v="Retail"/>
    <s v="Food"/>
    <s v="High"/>
    <n v="3.3"/>
    <n v="12"/>
    <s v="No"/>
    <s v="Efficient"/>
  </r>
  <r>
    <s v="SHP1091"/>
    <d v="2026-02-25T00:00:00"/>
    <d v="2026-02-25T00:00:00"/>
    <d v="2026-02-27T00:00:00"/>
    <s v="Chennai"/>
    <s v="Bangalore"/>
    <x v="1"/>
    <n v="1123"/>
    <x v="0"/>
    <n v="1"/>
    <n v="10107"/>
    <n v="5"/>
    <x v="41"/>
    <n v="9"/>
    <n v="3.7"/>
    <x v="2"/>
    <s v="Low"/>
    <s v="Average"/>
    <n v="2"/>
    <n v="2"/>
    <x v="0"/>
    <s v="On Time"/>
    <s v="Retail"/>
    <s v="Electronics"/>
    <s v="High"/>
    <n v="4.3"/>
    <n v="9"/>
    <s v="No"/>
    <s v="Efficient"/>
  </r>
  <r>
    <s v="SHP1092"/>
    <d v="2026-04-12T00:00:00"/>
    <d v="2026-04-12T00:00:00"/>
    <d v="2026-04-14T00:00:00"/>
    <s v="Indore"/>
    <s v="Hyderabad"/>
    <x v="5"/>
    <n v="278"/>
    <x v="0"/>
    <n v="8"/>
    <n v="3058"/>
    <n v="6"/>
    <x v="40"/>
    <n v="12"/>
    <n v="3.9"/>
    <x v="0"/>
    <s v="Low"/>
    <s v="Good"/>
    <n v="1"/>
    <n v="2"/>
    <x v="1"/>
    <s v="Delayed"/>
    <s v="Corporate"/>
    <s v="Furniture"/>
    <s v="High"/>
    <n v="4.9000000000000004"/>
    <n v="11"/>
    <s v="Yes"/>
    <s v="Needs Improvement"/>
  </r>
  <r>
    <s v="SHP1093"/>
    <d v="2026-03-19T00:00:00"/>
    <d v="2026-03-21T00:00:00"/>
    <d v="2026-03-24T00:00:00"/>
    <s v="Lucknow"/>
    <s v="Delhi"/>
    <x v="7"/>
    <n v="427"/>
    <x v="0"/>
    <n v="4"/>
    <n v="3416"/>
    <n v="5"/>
    <x v="42"/>
    <n v="4"/>
    <n v="3.8"/>
    <x v="2"/>
    <s v="Low"/>
    <s v="Good"/>
    <n v="1"/>
    <n v="3"/>
    <x v="2"/>
    <s v="Delayed"/>
    <s v="Wholesale"/>
    <s v="Electronics"/>
    <s v="High"/>
    <n v="4"/>
    <n v="8"/>
    <s v="Yes"/>
    <s v="Needs Improvement"/>
  </r>
  <r>
    <s v="SHP1094"/>
    <d v="2026-01-31T00:00:00"/>
    <d v="2026-02-02T00:00:00"/>
    <d v="2026-02-05T00:00:00"/>
    <s v="Indore"/>
    <s v="Hyderabad"/>
    <x v="5"/>
    <n v="796"/>
    <x v="1"/>
    <n v="1"/>
    <n v="7960"/>
    <n v="7"/>
    <x v="24"/>
    <n v="10"/>
    <n v="3.8"/>
    <x v="0"/>
    <s v="High"/>
    <s v="Average"/>
    <n v="1"/>
    <n v="3"/>
    <x v="2"/>
    <s v="Delayed"/>
    <s v="Wholesale"/>
    <s v="Machinery"/>
    <s v="High"/>
    <n v="4.0999999999999996"/>
    <n v="10"/>
    <s v="Yes"/>
    <s v="Needs Improvement"/>
  </r>
  <r>
    <s v="SHP1095"/>
    <d v="2026-02-19T00:00:00"/>
    <d v="2026-02-20T00:00:00"/>
    <d v="2026-02-23T00:00:00"/>
    <s v="Delhi"/>
    <s v="Mumbai"/>
    <x v="0"/>
    <n v="1501"/>
    <x v="1"/>
    <n v="6"/>
    <n v="12008"/>
    <n v="10"/>
    <x v="27"/>
    <n v="6"/>
    <n v="4.5999999999999996"/>
    <x v="3"/>
    <s v="Low"/>
    <s v="Poor"/>
    <n v="3"/>
    <n v="3"/>
    <x v="0"/>
    <s v="On Time"/>
    <s v="Wholesale"/>
    <s v="Clothing"/>
    <s v="Low"/>
    <n v="3.1"/>
    <n v="8"/>
    <s v="No"/>
    <s v="Efficient"/>
  </r>
  <r>
    <s v="SHP1096"/>
    <d v="2026-03-11T00:00:00"/>
    <d v="2026-03-12T00:00:00"/>
    <d v="2026-03-15T00:00:00"/>
    <s v="Indore"/>
    <s v="Hyderabad"/>
    <x v="5"/>
    <n v="1795"/>
    <x v="1"/>
    <n v="8"/>
    <n v="19745"/>
    <n v="6"/>
    <x v="31"/>
    <n v="2"/>
    <n v="4.4000000000000004"/>
    <x v="2"/>
    <s v="Low"/>
    <s v="Average"/>
    <n v="3"/>
    <n v="3"/>
    <x v="0"/>
    <s v="On Time"/>
    <s v="Corporate"/>
    <s v="Electronics"/>
    <s v="Medium"/>
    <n v="4.9000000000000004"/>
    <n v="11"/>
    <s v="No"/>
    <s v="Efficient"/>
  </r>
  <r>
    <s v="SHP1097"/>
    <d v="2026-03-07T00:00:00"/>
    <d v="2026-03-08T00:00:00"/>
    <d v="2026-03-10T00:00:00"/>
    <s v="Nagpur"/>
    <s v="Surat"/>
    <x v="6"/>
    <n v="718"/>
    <x v="3"/>
    <n v="4"/>
    <n v="5744"/>
    <n v="7"/>
    <x v="36"/>
    <n v="1"/>
    <n v="4.7"/>
    <x v="3"/>
    <s v="Medium"/>
    <s v="Good"/>
    <n v="1"/>
    <n v="2"/>
    <x v="1"/>
    <s v="Delayed"/>
    <s v="Retail"/>
    <s v="Food"/>
    <s v="Medium"/>
    <n v="3.7"/>
    <n v="8"/>
    <s v="Yes"/>
    <s v="Needs Improvement"/>
  </r>
  <r>
    <s v="SHP1098"/>
    <d v="2026-01-24T00:00:00"/>
    <d v="2026-01-25T00:00:00"/>
    <d v="2026-01-27T00:00:00"/>
    <s v="Nagpur"/>
    <s v="Surat"/>
    <x v="6"/>
    <n v="952"/>
    <x v="0"/>
    <n v="2"/>
    <n v="10472"/>
    <n v="8"/>
    <x v="18"/>
    <n v="7"/>
    <n v="4.2"/>
    <x v="1"/>
    <s v="High"/>
    <s v="Average"/>
    <n v="2"/>
    <n v="2"/>
    <x v="0"/>
    <s v="On Time"/>
    <s v="Retail"/>
    <s v="Clothing"/>
    <s v="Medium"/>
    <n v="3.9"/>
    <n v="11"/>
    <s v="No"/>
    <s v="Efficient"/>
  </r>
  <r>
    <s v="SHP1099"/>
    <d v="2026-04-02T00:00:00"/>
    <d v="2026-04-03T00:00:00"/>
    <d v="2026-04-06T00:00:00"/>
    <s v="Indore"/>
    <s v="Hyderabad"/>
    <x v="5"/>
    <n v="1612"/>
    <x v="1"/>
    <n v="6"/>
    <n v="14508"/>
    <n v="5"/>
    <x v="7"/>
    <n v="14"/>
    <n v="4.8"/>
    <x v="2"/>
    <s v="Medium"/>
    <s v="Poor"/>
    <n v="3"/>
    <n v="3"/>
    <x v="0"/>
    <s v="On Time"/>
    <s v="Wholesale"/>
    <s v="Food"/>
    <s v="Medium"/>
    <n v="4"/>
    <n v="9"/>
    <s v="No"/>
    <s v="Efficient"/>
  </r>
  <r>
    <s v="SHP1100"/>
    <d v="2026-04-06T00:00:00"/>
    <d v="2026-04-08T00:00:00"/>
    <d v="2026-04-09T00:00:00"/>
    <s v="Indore"/>
    <s v="Hyderabad"/>
    <x v="5"/>
    <n v="263"/>
    <x v="2"/>
    <n v="10"/>
    <n v="2893"/>
    <n v="8"/>
    <x v="37"/>
    <n v="3"/>
    <n v="3.1"/>
    <x v="3"/>
    <s v="Medium"/>
    <s v="Average"/>
    <n v="1"/>
    <n v="1"/>
    <x v="0"/>
    <s v="On Time"/>
    <s v="Wholesale"/>
    <s v="Furniture"/>
    <s v="High"/>
    <n v="3.9"/>
    <n v="11"/>
    <s v="No"/>
    <s v="Efficient"/>
  </r>
  <r>
    <s v="SHP1101"/>
    <d v="2026-02-17T00:00:00"/>
    <d v="2026-02-18T00:00:00"/>
    <d v="2026-02-23T00:00:00"/>
    <s v="Nagpur"/>
    <s v="Surat"/>
    <x v="6"/>
    <n v="1762"/>
    <x v="3"/>
    <n v="10"/>
    <n v="12334"/>
    <n v="9"/>
    <x v="8"/>
    <n v="7"/>
    <n v="3.6"/>
    <x v="3"/>
    <s v="Low"/>
    <s v="Good"/>
    <n v="3"/>
    <n v="5"/>
    <x v="2"/>
    <s v="Delayed"/>
    <s v="Corporate"/>
    <s v="Food"/>
    <s v="High"/>
    <n v="3.8"/>
    <n v="7"/>
    <s v="Yes"/>
    <s v="Needs Improvement"/>
  </r>
  <r>
    <s v="SHP1102"/>
    <d v="2026-03-13T00:00:00"/>
    <d v="2026-03-13T00:00:00"/>
    <d v="2026-03-16T00:00:00"/>
    <s v="Kolkata"/>
    <s v="Patna"/>
    <x v="3"/>
    <n v="1787"/>
    <x v="0"/>
    <n v="8"/>
    <n v="12509"/>
    <n v="9"/>
    <x v="13"/>
    <n v="12"/>
    <n v="4.8"/>
    <x v="2"/>
    <s v="Low"/>
    <s v="Good"/>
    <n v="3"/>
    <n v="3"/>
    <x v="0"/>
    <s v="On Time"/>
    <s v="Retail"/>
    <s v="Furniture"/>
    <s v="High"/>
    <n v="3.9"/>
    <n v="7"/>
    <s v="No"/>
    <s v="Efficient"/>
  </r>
  <r>
    <s v="SHP1103"/>
    <d v="2026-01-12T00:00:00"/>
    <d v="2026-01-14T00:00:00"/>
    <d v="2026-01-21T00:00:00"/>
    <s v="Ahmedabad"/>
    <s v="Jaipur"/>
    <x v="2"/>
    <n v="1567"/>
    <x v="0"/>
    <n v="2"/>
    <n v="15670"/>
    <n v="9"/>
    <x v="13"/>
    <n v="15"/>
    <n v="3.6"/>
    <x v="1"/>
    <s v="High"/>
    <s v="Poor"/>
    <n v="3"/>
    <n v="7"/>
    <x v="4"/>
    <s v="Delayed"/>
    <s v="Corporate"/>
    <s v="Electronics"/>
    <s v="Low"/>
    <n v="4.5999999999999996"/>
    <n v="10"/>
    <s v="Yes"/>
    <s v="Needs Improvement"/>
  </r>
  <r>
    <s v="SHP1104"/>
    <d v="2026-01-31T00:00:00"/>
    <d v="2026-02-01T00:00:00"/>
    <d v="2026-02-05T00:00:00"/>
    <s v="Delhi"/>
    <s v="Mumbai"/>
    <x v="0"/>
    <n v="939"/>
    <x v="0"/>
    <n v="8"/>
    <n v="11268"/>
    <n v="9"/>
    <x v="31"/>
    <n v="10"/>
    <n v="4.8"/>
    <x v="0"/>
    <s v="Medium"/>
    <s v="Average"/>
    <n v="2"/>
    <n v="4"/>
    <x v="2"/>
    <s v="Delayed"/>
    <s v="Wholesale"/>
    <s v="Food"/>
    <s v="High"/>
    <n v="3.8"/>
    <n v="12"/>
    <s v="Yes"/>
    <s v="Needs Improvement"/>
  </r>
  <r>
    <s v="SHP1105"/>
    <d v="2026-02-22T00:00:00"/>
    <d v="2026-02-24T00:00:00"/>
    <d v="2026-02-25T00:00:00"/>
    <s v="Bhopal"/>
    <s v="Pune"/>
    <x v="4"/>
    <n v="456"/>
    <x v="0"/>
    <n v="2"/>
    <n v="4104"/>
    <n v="8"/>
    <x v="23"/>
    <n v="9"/>
    <n v="3.7"/>
    <x v="1"/>
    <s v="Low"/>
    <s v="Average"/>
    <n v="1"/>
    <n v="1"/>
    <x v="0"/>
    <s v="On Time"/>
    <s v="Corporate"/>
    <s v="Machinery"/>
    <s v="Low"/>
    <n v="3.6"/>
    <n v="9"/>
    <s v="No"/>
    <s v="Efficient"/>
  </r>
  <r>
    <s v="SHP1106"/>
    <d v="2026-01-21T00:00:00"/>
    <d v="2026-01-22T00:00:00"/>
    <d v="2026-01-29T00:00:00"/>
    <s v="Chennai"/>
    <s v="Bangalore"/>
    <x v="1"/>
    <n v="908"/>
    <x v="0"/>
    <n v="2"/>
    <n v="7264"/>
    <n v="6"/>
    <x v="43"/>
    <n v="9"/>
    <n v="3.5"/>
    <x v="3"/>
    <s v="High"/>
    <s v="Poor"/>
    <n v="2"/>
    <n v="7"/>
    <x v="5"/>
    <s v="Delayed"/>
    <s v="Corporate"/>
    <s v="Machinery"/>
    <s v="High"/>
    <n v="3.3"/>
    <n v="8"/>
    <s v="Yes"/>
    <s v="Needs Improvement"/>
  </r>
  <r>
    <s v="SHP1107"/>
    <d v="2026-03-26T00:00:00"/>
    <d v="2026-03-28T00:00:00"/>
    <d v="2026-04-02T00:00:00"/>
    <s v="Ahmedabad"/>
    <s v="Jaipur"/>
    <x v="2"/>
    <n v="1354"/>
    <x v="3"/>
    <n v="1"/>
    <n v="8124"/>
    <n v="5"/>
    <x v="12"/>
    <n v="13"/>
    <n v="4.2"/>
    <x v="1"/>
    <s v="High"/>
    <s v="Average"/>
    <n v="3"/>
    <n v="5"/>
    <x v="2"/>
    <s v="Delayed"/>
    <s v="Wholesale"/>
    <s v="Clothing"/>
    <s v="Medium"/>
    <n v="3.5"/>
    <n v="6"/>
    <s v="Yes"/>
    <s v="Needs Improvement"/>
  </r>
  <r>
    <s v="SHP1108"/>
    <d v="2026-04-14T00:00:00"/>
    <d v="2026-04-16T00:00:00"/>
    <d v="2026-04-18T00:00:00"/>
    <s v="Lucknow"/>
    <s v="Delhi"/>
    <x v="7"/>
    <n v="809"/>
    <x v="1"/>
    <n v="2"/>
    <n v="8899"/>
    <n v="5"/>
    <x v="14"/>
    <n v="8"/>
    <n v="3.8"/>
    <x v="2"/>
    <s v="Low"/>
    <s v="Average"/>
    <n v="1"/>
    <n v="2"/>
    <x v="1"/>
    <s v="Delayed"/>
    <s v="Retail"/>
    <s v="Clothing"/>
    <s v="High"/>
    <n v="5"/>
    <n v="11"/>
    <s v="Yes"/>
    <s v="Needs Improvement"/>
  </r>
  <r>
    <s v="SHP1109"/>
    <d v="2026-02-14T00:00:00"/>
    <d v="2026-02-15T00:00:00"/>
    <d v="2026-02-18T00:00:00"/>
    <s v="Indore"/>
    <s v="Hyderabad"/>
    <x v="5"/>
    <n v="1757"/>
    <x v="0"/>
    <n v="9"/>
    <n v="17570"/>
    <n v="5"/>
    <x v="44"/>
    <n v="4"/>
    <n v="3.9"/>
    <x v="3"/>
    <s v="Medium"/>
    <s v="Good"/>
    <n v="3"/>
    <n v="3"/>
    <x v="0"/>
    <s v="On Time"/>
    <s v="Corporate"/>
    <s v="Clothing"/>
    <s v="Medium"/>
    <n v="4.7"/>
    <n v="10"/>
    <s v="No"/>
    <s v="Efficient"/>
  </r>
  <r>
    <s v="SHP1110"/>
    <d v="2026-02-23T00:00:00"/>
    <d v="2026-02-23T00:00:00"/>
    <d v="2026-02-25T00:00:00"/>
    <s v="Indore"/>
    <s v="Hyderabad"/>
    <x v="5"/>
    <n v="870"/>
    <x v="0"/>
    <n v="4"/>
    <n v="10440"/>
    <n v="6"/>
    <x v="32"/>
    <n v="9"/>
    <n v="3.9"/>
    <x v="3"/>
    <s v="Medium"/>
    <s v="Good"/>
    <n v="1"/>
    <n v="2"/>
    <x v="1"/>
    <s v="Delayed"/>
    <s v="Wholesale"/>
    <s v="Food"/>
    <s v="Low"/>
    <n v="3.4"/>
    <n v="12"/>
    <s v="Yes"/>
    <s v="Needs Improvement"/>
  </r>
  <r>
    <s v="SHP1111"/>
    <d v="2026-02-15T00:00:00"/>
    <d v="2026-02-15T00:00:00"/>
    <d v="2026-02-16T00:00:00"/>
    <s v="Delhi"/>
    <s v="Mumbai"/>
    <x v="0"/>
    <n v="776"/>
    <x v="1"/>
    <n v="10"/>
    <n v="9312"/>
    <n v="10"/>
    <x v="23"/>
    <n v="8"/>
    <n v="3.6"/>
    <x v="0"/>
    <s v="Low"/>
    <s v="Average"/>
    <n v="1"/>
    <n v="1"/>
    <x v="0"/>
    <s v="On Time"/>
    <s v="Retail"/>
    <s v="Clothing"/>
    <s v="Medium"/>
    <n v="3.7"/>
    <n v="12"/>
    <s v="No"/>
    <s v="Efficient"/>
  </r>
  <r>
    <s v="SHP1112"/>
    <d v="2026-02-21T00:00:00"/>
    <d v="2026-02-21T00:00:00"/>
    <d v="2026-02-24T00:00:00"/>
    <s v="Chennai"/>
    <s v="Bangalore"/>
    <x v="1"/>
    <n v="942"/>
    <x v="0"/>
    <n v="2"/>
    <n v="8478"/>
    <n v="9"/>
    <x v="25"/>
    <n v="13"/>
    <n v="4.0999999999999996"/>
    <x v="0"/>
    <s v="Low"/>
    <s v="Good"/>
    <n v="2"/>
    <n v="3"/>
    <x v="1"/>
    <s v="Delayed"/>
    <s v="Retail"/>
    <s v="Clothing"/>
    <s v="High"/>
    <n v="4.9000000000000004"/>
    <n v="9"/>
    <s v="Yes"/>
    <s v="Needs Improvement"/>
  </r>
  <r>
    <s v="SHP1113"/>
    <d v="2026-04-07T00:00:00"/>
    <d v="2026-04-07T00:00:00"/>
    <d v="2026-04-14T00:00:00"/>
    <s v="Chennai"/>
    <s v="Bangalore"/>
    <x v="1"/>
    <n v="1433"/>
    <x v="1"/>
    <n v="9"/>
    <n v="8598"/>
    <n v="5"/>
    <x v="37"/>
    <n v="3"/>
    <n v="4.4000000000000004"/>
    <x v="2"/>
    <s v="High"/>
    <s v="Average"/>
    <n v="3"/>
    <n v="7"/>
    <x v="4"/>
    <s v="Delayed"/>
    <s v="Corporate"/>
    <s v="Clothing"/>
    <s v="High"/>
    <n v="3.6"/>
    <n v="6"/>
    <s v="Yes"/>
    <s v="Needs Improvement"/>
  </r>
  <r>
    <s v="SHP1114"/>
    <d v="2026-02-20T00:00:00"/>
    <d v="2026-02-22T00:00:00"/>
    <d v="2026-02-27T00:00:00"/>
    <s v="Kolkata"/>
    <s v="Patna"/>
    <x v="3"/>
    <n v="1415"/>
    <x v="0"/>
    <n v="9"/>
    <n v="16980"/>
    <n v="9"/>
    <x v="2"/>
    <n v="8"/>
    <n v="4.4000000000000004"/>
    <x v="3"/>
    <s v="Medium"/>
    <s v="Good"/>
    <n v="3"/>
    <n v="5"/>
    <x v="2"/>
    <s v="Delayed"/>
    <s v="Wholesale"/>
    <s v="Electronics"/>
    <s v="Medium"/>
    <n v="4.2"/>
    <n v="12"/>
    <s v="Yes"/>
    <s v="Needs Improvement"/>
  </r>
  <r>
    <s v="SHP1115"/>
    <d v="2026-04-12T00:00:00"/>
    <d v="2026-04-14T00:00:00"/>
    <d v="2026-04-21T00:00:00"/>
    <s v="Delhi"/>
    <s v="Mumbai"/>
    <x v="0"/>
    <n v="1422"/>
    <x v="1"/>
    <n v="5"/>
    <n v="15642"/>
    <n v="9"/>
    <x v="16"/>
    <n v="4"/>
    <n v="4.4000000000000004"/>
    <x v="2"/>
    <s v="Low"/>
    <s v="Poor"/>
    <n v="3"/>
    <n v="7"/>
    <x v="4"/>
    <s v="Delayed"/>
    <s v="Retail"/>
    <s v="Furniture"/>
    <s v="High"/>
    <n v="3.5"/>
    <n v="11"/>
    <s v="Yes"/>
    <s v="Needs Improvement"/>
  </r>
  <r>
    <s v="SHP1116"/>
    <d v="2026-03-15T00:00:00"/>
    <d v="2026-03-17T00:00:00"/>
    <d v="2026-03-18T00:00:00"/>
    <s v="Bhopal"/>
    <s v="Pune"/>
    <x v="4"/>
    <n v="590"/>
    <x v="3"/>
    <n v="8"/>
    <n v="4720"/>
    <n v="8"/>
    <x v="5"/>
    <n v="7"/>
    <n v="4.4000000000000004"/>
    <x v="2"/>
    <s v="High"/>
    <s v="Poor"/>
    <n v="1"/>
    <n v="1"/>
    <x v="0"/>
    <s v="On Time"/>
    <s v="Wholesale"/>
    <s v="Furniture"/>
    <s v="High"/>
    <n v="3.4"/>
    <n v="8"/>
    <s v="No"/>
    <s v="Efficient"/>
  </r>
  <r>
    <s v="SHP1117"/>
    <d v="2026-02-11T00:00:00"/>
    <d v="2026-02-13T00:00:00"/>
    <d v="2026-02-16T00:00:00"/>
    <s v="Nagpur"/>
    <s v="Surat"/>
    <x v="6"/>
    <n v="1276"/>
    <x v="1"/>
    <n v="6"/>
    <n v="8932"/>
    <n v="8"/>
    <x v="2"/>
    <n v="6"/>
    <n v="4.0999999999999996"/>
    <x v="3"/>
    <s v="High"/>
    <s v="Average"/>
    <n v="2"/>
    <n v="3"/>
    <x v="1"/>
    <s v="Delayed"/>
    <s v="Wholesale"/>
    <s v="Clothing"/>
    <s v="Low"/>
    <n v="4.9000000000000004"/>
    <n v="7"/>
    <s v="Yes"/>
    <s v="Needs Improvement"/>
  </r>
  <r>
    <s v="SHP1118"/>
    <d v="2026-02-08T00:00:00"/>
    <d v="2026-02-09T00:00:00"/>
    <d v="2026-02-15T00:00:00"/>
    <s v="Chennai"/>
    <s v="Bangalore"/>
    <x v="1"/>
    <n v="1613"/>
    <x v="1"/>
    <n v="6"/>
    <n v="14517"/>
    <n v="7"/>
    <x v="10"/>
    <n v="15"/>
    <n v="4.9000000000000004"/>
    <x v="3"/>
    <s v="Medium"/>
    <s v="Good"/>
    <n v="3"/>
    <n v="6"/>
    <x v="3"/>
    <s v="Delayed"/>
    <s v="Retail"/>
    <s v="Clothing"/>
    <s v="Low"/>
    <n v="3.6"/>
    <n v="9"/>
    <s v="Yes"/>
    <s v="Needs Improvement"/>
  </r>
  <r>
    <s v="SHP1119"/>
    <d v="2026-02-06T00:00:00"/>
    <d v="2026-02-08T00:00:00"/>
    <d v="2026-02-10T00:00:00"/>
    <s v="Bhopal"/>
    <s v="Pune"/>
    <x v="4"/>
    <n v="909"/>
    <x v="1"/>
    <n v="5"/>
    <n v="9999"/>
    <n v="8"/>
    <x v="11"/>
    <n v="4"/>
    <n v="4.7"/>
    <x v="3"/>
    <s v="High"/>
    <s v="Poor"/>
    <n v="2"/>
    <n v="2"/>
    <x v="0"/>
    <s v="On Time"/>
    <s v="Wholesale"/>
    <s v="Machinery"/>
    <s v="Low"/>
    <n v="3.5"/>
    <n v="11"/>
    <s v="No"/>
    <s v="Efficient"/>
  </r>
  <r>
    <s v="SHP1120"/>
    <d v="2026-03-27T00:00:00"/>
    <d v="2026-03-29T00:00:00"/>
    <d v="2026-04-02T00:00:00"/>
    <s v="Chennai"/>
    <s v="Bangalore"/>
    <x v="1"/>
    <n v="1506"/>
    <x v="2"/>
    <n v="1"/>
    <n v="9036"/>
    <n v="8"/>
    <x v="29"/>
    <n v="12"/>
    <n v="3.9"/>
    <x v="1"/>
    <s v="Low"/>
    <s v="Poor"/>
    <n v="3"/>
    <n v="4"/>
    <x v="1"/>
    <s v="Delayed"/>
    <s v="Wholesale"/>
    <s v="Food"/>
    <s v="Medium"/>
    <n v="4.3"/>
    <n v="6"/>
    <s v="Yes"/>
    <s v="Needs Improvement"/>
  </r>
  <r>
    <s v="SHP1121"/>
    <d v="2026-04-07T00:00:00"/>
    <d v="2026-04-08T00:00:00"/>
    <d v="2026-04-09T00:00:00"/>
    <s v="Ahmedabad"/>
    <s v="Jaipur"/>
    <x v="2"/>
    <n v="784"/>
    <x v="3"/>
    <n v="2"/>
    <n v="8624"/>
    <n v="9"/>
    <x v="45"/>
    <n v="9"/>
    <n v="4.5"/>
    <x v="0"/>
    <s v="Low"/>
    <s v="Average"/>
    <n v="1"/>
    <n v="1"/>
    <x v="0"/>
    <s v="On Time"/>
    <s v="Corporate"/>
    <s v="Food"/>
    <s v="Medium"/>
    <n v="3.4"/>
    <n v="11"/>
    <s v="No"/>
    <s v="Efficient"/>
  </r>
  <r>
    <s v="SHP1122"/>
    <d v="2026-04-06T00:00:00"/>
    <d v="2026-04-07T00:00:00"/>
    <d v="2026-04-10T00:00:00"/>
    <s v="Delhi"/>
    <s v="Mumbai"/>
    <x v="0"/>
    <n v="218"/>
    <x v="0"/>
    <n v="10"/>
    <n v="2180"/>
    <n v="5"/>
    <x v="29"/>
    <n v="5"/>
    <n v="3.9"/>
    <x v="2"/>
    <s v="Low"/>
    <s v="Poor"/>
    <n v="1"/>
    <n v="3"/>
    <x v="2"/>
    <s v="Delayed"/>
    <s v="Corporate"/>
    <s v="Electronics"/>
    <s v="Medium"/>
    <n v="3.3"/>
    <n v="10"/>
    <s v="Yes"/>
    <s v="Needs Improvement"/>
  </r>
  <r>
    <s v="SHP1123"/>
    <d v="2026-02-28T00:00:00"/>
    <d v="2026-03-02T00:00:00"/>
    <d v="2026-03-08T00:00:00"/>
    <s v="Kolkata"/>
    <s v="Patna"/>
    <x v="3"/>
    <n v="1671"/>
    <x v="2"/>
    <n v="1"/>
    <n v="18381"/>
    <n v="7"/>
    <x v="13"/>
    <n v="10"/>
    <n v="4.3"/>
    <x v="1"/>
    <s v="Low"/>
    <s v="Poor"/>
    <n v="3"/>
    <n v="6"/>
    <x v="3"/>
    <s v="Delayed"/>
    <s v="Retail"/>
    <s v="Machinery"/>
    <s v="Medium"/>
    <n v="3.2"/>
    <n v="11"/>
    <s v="Yes"/>
    <s v="Needs Improvement"/>
  </r>
  <r>
    <s v="SHP1124"/>
    <d v="2026-03-27T00:00:00"/>
    <d v="2026-03-27T00:00:00"/>
    <d v="2026-03-28T00:00:00"/>
    <s v="Indore"/>
    <s v="Hyderabad"/>
    <x v="5"/>
    <n v="487"/>
    <x v="1"/>
    <n v="6"/>
    <n v="3409"/>
    <n v="5"/>
    <x v="46"/>
    <n v="7"/>
    <n v="3.5"/>
    <x v="3"/>
    <s v="Medium"/>
    <s v="Average"/>
    <n v="1"/>
    <n v="1"/>
    <x v="0"/>
    <s v="On Time"/>
    <s v="Retail"/>
    <s v="Clothing"/>
    <s v="High"/>
    <n v="3.5"/>
    <n v="7"/>
    <s v="No"/>
    <s v="Efficient"/>
  </r>
  <r>
    <s v="SHP1125"/>
    <d v="2026-03-27T00:00:00"/>
    <d v="2026-03-27T00:00:00"/>
    <d v="2026-03-29T00:00:00"/>
    <s v="Nagpur"/>
    <s v="Surat"/>
    <x v="6"/>
    <n v="828"/>
    <x v="2"/>
    <n v="7"/>
    <n v="9108"/>
    <n v="9"/>
    <x v="47"/>
    <n v="13"/>
    <n v="3.6"/>
    <x v="0"/>
    <s v="High"/>
    <s v="Average"/>
    <n v="1"/>
    <n v="2"/>
    <x v="1"/>
    <s v="Delayed"/>
    <s v="Corporate"/>
    <s v="Furniture"/>
    <s v="Medium"/>
    <n v="3.3"/>
    <n v="11"/>
    <s v="Yes"/>
    <s v="Needs Improvement"/>
  </r>
  <r>
    <s v="SHP1126"/>
    <d v="2026-04-06T00:00:00"/>
    <d v="2026-04-08T00:00:00"/>
    <d v="2026-04-10T00:00:00"/>
    <s v="Ahmedabad"/>
    <s v="Jaipur"/>
    <x v="2"/>
    <n v="1051"/>
    <x v="1"/>
    <n v="9"/>
    <n v="12612"/>
    <n v="10"/>
    <x v="11"/>
    <n v="13"/>
    <n v="3.5"/>
    <x v="0"/>
    <s v="High"/>
    <s v="Average"/>
    <n v="2"/>
    <n v="2"/>
    <x v="0"/>
    <s v="On Time"/>
    <s v="Wholesale"/>
    <s v="Electronics"/>
    <s v="Low"/>
    <n v="4.7"/>
    <n v="12"/>
    <s v="No"/>
    <s v="Efficient"/>
  </r>
  <r>
    <s v="SHP1127"/>
    <d v="2026-04-26T00:00:00"/>
    <d v="2026-04-28T00:00:00"/>
    <d v="2026-05-01T00:00:00"/>
    <s v="Chennai"/>
    <s v="Bangalore"/>
    <x v="1"/>
    <n v="1372"/>
    <x v="2"/>
    <n v="3"/>
    <n v="10976"/>
    <n v="9"/>
    <x v="25"/>
    <n v="2"/>
    <n v="4.4000000000000004"/>
    <x v="2"/>
    <s v="Low"/>
    <s v="Poor"/>
    <n v="3"/>
    <n v="3"/>
    <x v="0"/>
    <s v="On Time"/>
    <s v="Retail"/>
    <s v="Furniture"/>
    <s v="High"/>
    <n v="3.8"/>
    <n v="8"/>
    <s v="No"/>
    <s v="Efficient"/>
  </r>
  <r>
    <s v="SHP1128"/>
    <d v="2026-03-14T00:00:00"/>
    <d v="2026-03-14T00:00:00"/>
    <d v="2026-03-18T00:00:00"/>
    <s v="Nagpur"/>
    <s v="Surat"/>
    <x v="6"/>
    <n v="1577"/>
    <x v="0"/>
    <n v="1"/>
    <n v="14193"/>
    <n v="7"/>
    <x v="33"/>
    <n v="12"/>
    <n v="3.4"/>
    <x v="0"/>
    <s v="Low"/>
    <s v="Average"/>
    <n v="3"/>
    <n v="4"/>
    <x v="1"/>
    <s v="Delayed"/>
    <s v="Wholesale"/>
    <s v="Electronics"/>
    <s v="High"/>
    <n v="5"/>
    <n v="9"/>
    <s v="Yes"/>
    <s v="Needs Improvement"/>
  </r>
  <r>
    <s v="SHP1129"/>
    <d v="2026-04-30T00:00:00"/>
    <d v="2026-04-30T00:00:00"/>
    <d v="2026-05-02T00:00:00"/>
    <s v="Nagpur"/>
    <s v="Surat"/>
    <x v="6"/>
    <n v="264"/>
    <x v="0"/>
    <n v="7"/>
    <n v="1848"/>
    <n v="6"/>
    <x v="36"/>
    <n v="11"/>
    <n v="5"/>
    <x v="2"/>
    <s v="Medium"/>
    <s v="Average"/>
    <n v="1"/>
    <n v="2"/>
    <x v="1"/>
    <s v="Delayed"/>
    <s v="Retail"/>
    <s v="Electronics"/>
    <s v="High"/>
    <n v="4.9000000000000004"/>
    <n v="7"/>
    <s v="Yes"/>
    <s v="Needs Improvement"/>
  </r>
  <r>
    <s v="SHP1130"/>
    <d v="2026-04-22T00:00:00"/>
    <d v="2026-04-24T00:00:00"/>
    <d v="2026-04-28T00:00:00"/>
    <s v="Indore"/>
    <s v="Hyderabad"/>
    <x v="5"/>
    <n v="1538"/>
    <x v="0"/>
    <n v="2"/>
    <n v="10766"/>
    <n v="9"/>
    <x v="41"/>
    <n v="9"/>
    <n v="3.3"/>
    <x v="1"/>
    <s v="Low"/>
    <s v="Good"/>
    <n v="3"/>
    <n v="4"/>
    <x v="1"/>
    <s v="Delayed"/>
    <s v="Wholesale"/>
    <s v="Machinery"/>
    <s v="Medium"/>
    <n v="4.0999999999999996"/>
    <n v="7"/>
    <s v="Yes"/>
    <s v="Needs Improvement"/>
  </r>
  <r>
    <s v="SHP1131"/>
    <d v="2026-04-16T00:00:00"/>
    <d v="2026-04-16T00:00:00"/>
    <d v="2026-04-18T00:00:00"/>
    <s v="Chennai"/>
    <s v="Bangalore"/>
    <x v="1"/>
    <n v="1143"/>
    <x v="0"/>
    <n v="3"/>
    <n v="9144"/>
    <n v="6"/>
    <x v="7"/>
    <n v="13"/>
    <n v="3.2"/>
    <x v="2"/>
    <s v="High"/>
    <s v="Good"/>
    <n v="2"/>
    <n v="2"/>
    <x v="0"/>
    <s v="On Time"/>
    <s v="Corporate"/>
    <s v="Machinery"/>
    <s v="Low"/>
    <n v="3.9"/>
    <n v="8"/>
    <s v="No"/>
    <s v="Efficient"/>
  </r>
  <r>
    <s v="SHP1132"/>
    <d v="2026-03-28T00:00:00"/>
    <d v="2026-03-30T00:00:00"/>
    <d v="2026-04-01T00:00:00"/>
    <s v="Delhi"/>
    <s v="Mumbai"/>
    <x v="0"/>
    <n v="701"/>
    <x v="3"/>
    <n v="7"/>
    <n v="6309"/>
    <n v="6"/>
    <x v="2"/>
    <n v="4"/>
    <n v="4.5"/>
    <x v="0"/>
    <s v="Low"/>
    <s v="Poor"/>
    <n v="1"/>
    <n v="2"/>
    <x v="1"/>
    <s v="Delayed"/>
    <s v="Corporate"/>
    <s v="Machinery"/>
    <s v="Medium"/>
    <n v="4.2"/>
    <n v="9"/>
    <s v="Yes"/>
    <s v="Needs Improvement"/>
  </r>
  <r>
    <s v="SHP1133"/>
    <d v="2026-04-09T00:00:00"/>
    <d v="2026-04-11T00:00:00"/>
    <d v="2026-04-15T00:00:00"/>
    <s v="Ahmedabad"/>
    <s v="Jaipur"/>
    <x v="2"/>
    <n v="685"/>
    <x v="0"/>
    <n v="3"/>
    <n v="7535"/>
    <n v="9"/>
    <x v="45"/>
    <n v="7"/>
    <n v="3.6"/>
    <x v="0"/>
    <s v="High"/>
    <s v="Poor"/>
    <n v="1"/>
    <n v="4"/>
    <x v="3"/>
    <s v="Delayed"/>
    <s v="Wholesale"/>
    <s v="Food"/>
    <s v="Low"/>
    <n v="4.9000000000000004"/>
    <n v="11"/>
    <s v="Yes"/>
    <s v="Needs Improvement"/>
  </r>
  <r>
    <s v="SHP1134"/>
    <d v="2026-05-01T00:00:00"/>
    <d v="2026-05-03T00:00:00"/>
    <d v="2026-05-07T00:00:00"/>
    <s v="Lucknow"/>
    <s v="Delhi"/>
    <x v="7"/>
    <n v="1274"/>
    <x v="0"/>
    <n v="7"/>
    <n v="11466"/>
    <n v="6"/>
    <x v="26"/>
    <n v="7"/>
    <n v="3.4"/>
    <x v="2"/>
    <s v="Low"/>
    <s v="Good"/>
    <n v="2"/>
    <n v="4"/>
    <x v="2"/>
    <s v="Delayed"/>
    <s v="Corporate"/>
    <s v="Food"/>
    <s v="Low"/>
    <n v="4.0999999999999996"/>
    <n v="9"/>
    <s v="Yes"/>
    <s v="Needs Improvement"/>
  </r>
  <r>
    <s v="SHP1135"/>
    <d v="2026-02-23T00:00:00"/>
    <d v="2026-02-25T00:00:00"/>
    <d v="2026-02-28T00:00:00"/>
    <s v="Indore"/>
    <s v="Hyderabad"/>
    <x v="5"/>
    <n v="995"/>
    <x v="2"/>
    <n v="5"/>
    <n v="6965"/>
    <n v="7"/>
    <x v="12"/>
    <n v="2"/>
    <n v="4.8"/>
    <x v="3"/>
    <s v="Low"/>
    <s v="Poor"/>
    <n v="2"/>
    <n v="3"/>
    <x v="1"/>
    <s v="Delayed"/>
    <s v="Corporate"/>
    <s v="Clothing"/>
    <s v="Medium"/>
    <n v="4.3"/>
    <n v="7"/>
    <s v="Yes"/>
    <s v="Needs Improvement"/>
  </r>
  <r>
    <s v="SHP1136"/>
    <d v="2026-03-19T00:00:00"/>
    <d v="2026-03-19T00:00:00"/>
    <d v="2026-03-24T00:00:00"/>
    <s v="Bhopal"/>
    <s v="Pune"/>
    <x v="4"/>
    <n v="585"/>
    <x v="2"/>
    <n v="8"/>
    <n v="4095"/>
    <n v="7"/>
    <x v="26"/>
    <n v="15"/>
    <n v="3"/>
    <x v="1"/>
    <s v="High"/>
    <s v="Good"/>
    <n v="1"/>
    <n v="5"/>
    <x v="4"/>
    <s v="Delayed"/>
    <s v="Wholesale"/>
    <s v="Furniture"/>
    <s v="Medium"/>
    <n v="4.8"/>
    <n v="7"/>
    <s v="Yes"/>
    <s v="Needs Improvement"/>
  </r>
  <r>
    <s v="SHP1137"/>
    <d v="2026-03-12T00:00:00"/>
    <d v="2026-03-13T00:00:00"/>
    <d v="2026-03-18T00:00:00"/>
    <s v="Kolkata"/>
    <s v="Patna"/>
    <x v="3"/>
    <n v="979"/>
    <x v="1"/>
    <n v="9"/>
    <n v="10769"/>
    <n v="7"/>
    <x v="26"/>
    <n v="5"/>
    <n v="3.7"/>
    <x v="2"/>
    <s v="Medium"/>
    <s v="Good"/>
    <n v="2"/>
    <n v="5"/>
    <x v="3"/>
    <s v="Delayed"/>
    <s v="Retail"/>
    <s v="Furniture"/>
    <s v="Medium"/>
    <n v="3.6"/>
    <n v="11"/>
    <s v="Yes"/>
    <s v="Needs Improvement"/>
  </r>
  <r>
    <s v="SHP1138"/>
    <d v="2026-01-06T00:00:00"/>
    <d v="2026-01-08T00:00:00"/>
    <d v="2026-01-11T00:00:00"/>
    <s v="Chennai"/>
    <s v="Bangalore"/>
    <x v="1"/>
    <n v="1718"/>
    <x v="2"/>
    <n v="1"/>
    <n v="13744"/>
    <n v="9"/>
    <x v="30"/>
    <n v="10"/>
    <n v="4.4000000000000004"/>
    <x v="3"/>
    <s v="Low"/>
    <s v="Good"/>
    <n v="3"/>
    <n v="3"/>
    <x v="0"/>
    <s v="On Time"/>
    <s v="Retail"/>
    <s v="Machinery"/>
    <s v="Low"/>
    <n v="4"/>
    <n v="8"/>
    <s v="No"/>
    <s v="Efficient"/>
  </r>
  <r>
    <s v="SHP1139"/>
    <d v="2026-03-25T00:00:00"/>
    <d v="2026-03-27T00:00:00"/>
    <d v="2026-04-01T00:00:00"/>
    <s v="Ahmedabad"/>
    <s v="Jaipur"/>
    <x v="2"/>
    <n v="727"/>
    <x v="1"/>
    <n v="8"/>
    <n v="6543"/>
    <n v="6"/>
    <x v="7"/>
    <n v="13"/>
    <n v="3.7"/>
    <x v="1"/>
    <s v="High"/>
    <s v="Poor"/>
    <n v="1"/>
    <n v="5"/>
    <x v="4"/>
    <s v="Delayed"/>
    <s v="Wholesale"/>
    <s v="Electronics"/>
    <s v="High"/>
    <n v="3.1"/>
    <n v="9"/>
    <s v="Yes"/>
    <s v="Needs Improvement"/>
  </r>
  <r>
    <s v="SHP1140"/>
    <d v="2026-04-19T00:00:00"/>
    <d v="2026-04-19T00:00:00"/>
    <d v="2026-04-23T00:00:00"/>
    <s v="Delhi"/>
    <s v="Mumbai"/>
    <x v="0"/>
    <n v="1765"/>
    <x v="3"/>
    <n v="7"/>
    <n v="12355"/>
    <n v="10"/>
    <x v="45"/>
    <n v="2"/>
    <n v="4.4000000000000004"/>
    <x v="0"/>
    <s v="Low"/>
    <s v="Poor"/>
    <n v="3"/>
    <n v="4"/>
    <x v="1"/>
    <s v="Delayed"/>
    <s v="Retail"/>
    <s v="Electronics"/>
    <s v="High"/>
    <n v="4.3"/>
    <n v="7"/>
    <s v="Yes"/>
    <s v="Needs Improvement"/>
  </r>
  <r>
    <s v="SHP1141"/>
    <d v="2026-04-30T00:00:00"/>
    <d v="2026-05-02T00:00:00"/>
    <d v="2026-05-08T00:00:00"/>
    <s v="Nagpur"/>
    <s v="Surat"/>
    <x v="6"/>
    <n v="1550"/>
    <x v="1"/>
    <n v="1"/>
    <n v="9300"/>
    <n v="9"/>
    <x v="10"/>
    <n v="7"/>
    <n v="3"/>
    <x v="3"/>
    <s v="High"/>
    <s v="Average"/>
    <n v="3"/>
    <n v="6"/>
    <x v="3"/>
    <s v="Delayed"/>
    <s v="Corporate"/>
    <s v="Electronics"/>
    <s v="Low"/>
    <n v="4"/>
    <n v="6"/>
    <s v="Yes"/>
    <s v="Needs Improvement"/>
  </r>
  <r>
    <s v="SHP1142"/>
    <d v="2026-01-31T00:00:00"/>
    <d v="2026-01-31T00:00:00"/>
    <d v="2026-02-04T00:00:00"/>
    <s v="Kolkata"/>
    <s v="Patna"/>
    <x v="3"/>
    <n v="925"/>
    <x v="0"/>
    <n v="7"/>
    <n v="5550"/>
    <n v="7"/>
    <x v="41"/>
    <n v="8"/>
    <n v="4.0999999999999996"/>
    <x v="1"/>
    <s v="Medium"/>
    <s v="Poor"/>
    <n v="2"/>
    <n v="4"/>
    <x v="2"/>
    <s v="Delayed"/>
    <s v="Wholesale"/>
    <s v="Electronics"/>
    <s v="Low"/>
    <n v="3.8"/>
    <n v="6"/>
    <s v="Yes"/>
    <s v="Needs Improvement"/>
  </r>
  <r>
    <s v="SHP1143"/>
    <d v="2026-02-18T00:00:00"/>
    <d v="2026-02-20T00:00:00"/>
    <d v="2026-02-21T00:00:00"/>
    <s v="Nagpur"/>
    <s v="Surat"/>
    <x v="6"/>
    <n v="314"/>
    <x v="3"/>
    <n v="3"/>
    <n v="1884"/>
    <n v="8"/>
    <x v="22"/>
    <n v="11"/>
    <n v="4.5999999999999996"/>
    <x v="0"/>
    <s v="High"/>
    <s v="Good"/>
    <n v="1"/>
    <n v="1"/>
    <x v="0"/>
    <s v="On Time"/>
    <s v="Wholesale"/>
    <s v="Machinery"/>
    <s v="Medium"/>
    <n v="3.5"/>
    <n v="6"/>
    <s v="No"/>
    <s v="Efficient"/>
  </r>
  <r>
    <s v="SHP1144"/>
    <d v="2026-04-29T00:00:00"/>
    <d v="2026-04-29T00:00:00"/>
    <d v="2026-05-01T00:00:00"/>
    <s v="Kolkata"/>
    <s v="Patna"/>
    <x v="3"/>
    <n v="1312"/>
    <x v="3"/>
    <n v="3"/>
    <n v="15744"/>
    <n v="7"/>
    <x v="27"/>
    <n v="4"/>
    <n v="4.2"/>
    <x v="2"/>
    <s v="Low"/>
    <s v="Average"/>
    <n v="2"/>
    <n v="2"/>
    <x v="0"/>
    <s v="On Time"/>
    <s v="Wholesale"/>
    <s v="Food"/>
    <s v="High"/>
    <n v="4.8"/>
    <n v="12"/>
    <s v="No"/>
    <s v="Efficient"/>
  </r>
  <r>
    <s v="SHP1145"/>
    <d v="2026-02-12T00:00:00"/>
    <d v="2026-02-13T00:00:00"/>
    <d v="2026-02-19T00:00:00"/>
    <s v="Indore"/>
    <s v="Hyderabad"/>
    <x v="5"/>
    <n v="1611"/>
    <x v="3"/>
    <n v="9"/>
    <n v="17721"/>
    <n v="7"/>
    <x v="42"/>
    <n v="2"/>
    <n v="3.9"/>
    <x v="0"/>
    <s v="Medium"/>
    <s v="Poor"/>
    <n v="3"/>
    <n v="6"/>
    <x v="3"/>
    <s v="Delayed"/>
    <s v="Retail"/>
    <s v="Electronics"/>
    <s v="High"/>
    <n v="3.5"/>
    <n v="11"/>
    <s v="Yes"/>
    <s v="Needs Improvement"/>
  </r>
  <r>
    <s v="SHP1146"/>
    <d v="2026-02-27T00:00:00"/>
    <d v="2026-02-28T00:00:00"/>
    <d v="2026-03-02T00:00:00"/>
    <s v="Chennai"/>
    <s v="Bangalore"/>
    <x v="1"/>
    <n v="928"/>
    <x v="1"/>
    <n v="7"/>
    <n v="6496"/>
    <n v="10"/>
    <x v="30"/>
    <n v="11"/>
    <n v="3.8"/>
    <x v="3"/>
    <s v="Low"/>
    <s v="Poor"/>
    <n v="2"/>
    <n v="2"/>
    <x v="0"/>
    <s v="On Time"/>
    <s v="Retail"/>
    <s v="Furniture"/>
    <s v="Medium"/>
    <n v="4.4000000000000004"/>
    <n v="7"/>
    <s v="No"/>
    <s v="Efficient"/>
  </r>
  <r>
    <s v="SHP1147"/>
    <d v="2026-03-23T00:00:00"/>
    <d v="2026-03-23T00:00:00"/>
    <d v="2026-03-24T00:00:00"/>
    <s v="Lucknow"/>
    <s v="Delhi"/>
    <x v="7"/>
    <n v="848"/>
    <x v="0"/>
    <n v="2"/>
    <n v="5088"/>
    <n v="5"/>
    <x v="26"/>
    <n v="8"/>
    <n v="3.7"/>
    <x v="3"/>
    <s v="Low"/>
    <s v="Good"/>
    <n v="1"/>
    <n v="1"/>
    <x v="0"/>
    <s v="On Time"/>
    <s v="Retail"/>
    <s v="Food"/>
    <s v="High"/>
    <n v="4.0999999999999996"/>
    <n v="6"/>
    <s v="No"/>
    <s v="Efficient"/>
  </r>
  <r>
    <s v="SHP1148"/>
    <d v="2026-02-22T00:00:00"/>
    <d v="2026-02-22T00:00:00"/>
    <d v="2026-02-26T00:00:00"/>
    <s v="Delhi"/>
    <s v="Mumbai"/>
    <x v="0"/>
    <n v="383"/>
    <x v="0"/>
    <n v="9"/>
    <n v="2298"/>
    <n v="9"/>
    <x v="48"/>
    <n v="13"/>
    <n v="3.6"/>
    <x v="2"/>
    <s v="Low"/>
    <s v="Average"/>
    <n v="1"/>
    <n v="4"/>
    <x v="3"/>
    <s v="Delayed"/>
    <s v="Corporate"/>
    <s v="Machinery"/>
    <s v="Low"/>
    <n v="4.0999999999999996"/>
    <n v="6"/>
    <s v="Yes"/>
    <s v="Needs Improvement"/>
  </r>
  <r>
    <s v="SHP1149"/>
    <d v="2026-01-22T00:00:00"/>
    <d v="2026-01-24T00:00:00"/>
    <d v="2026-01-26T00:00:00"/>
    <s v="Lucknow"/>
    <s v="Delhi"/>
    <x v="7"/>
    <n v="547"/>
    <x v="2"/>
    <n v="5"/>
    <n v="4376"/>
    <n v="7"/>
    <x v="32"/>
    <n v="3"/>
    <n v="3.1"/>
    <x v="2"/>
    <s v="Medium"/>
    <s v="Average"/>
    <n v="1"/>
    <n v="2"/>
    <x v="1"/>
    <s v="Delayed"/>
    <s v="Corporate"/>
    <s v="Clothing"/>
    <s v="Medium"/>
    <n v="4.9000000000000004"/>
    <n v="8"/>
    <s v="Yes"/>
    <s v="Needs Improvement"/>
  </r>
  <r>
    <s v="SHP1150"/>
    <d v="2026-04-03T00:00:00"/>
    <d v="2026-04-05T00:00:00"/>
    <d v="2026-04-10T00:00:00"/>
    <s v="Nagpur"/>
    <s v="Surat"/>
    <x v="6"/>
    <n v="1416"/>
    <x v="2"/>
    <n v="8"/>
    <n v="8496"/>
    <n v="6"/>
    <x v="26"/>
    <n v="1"/>
    <n v="4.9000000000000004"/>
    <x v="3"/>
    <s v="High"/>
    <s v="Average"/>
    <n v="3"/>
    <n v="5"/>
    <x v="2"/>
    <s v="Delayed"/>
    <s v="Retail"/>
    <s v="Machinery"/>
    <s v="Low"/>
    <n v="3.6"/>
    <n v="6"/>
    <s v="Yes"/>
    <s v="Needs Improvement"/>
  </r>
  <r>
    <s v="SHP1151"/>
    <d v="2026-03-19T00:00:00"/>
    <d v="2026-03-21T00:00:00"/>
    <d v="2026-03-25T00:00:00"/>
    <s v="Chennai"/>
    <s v="Bangalore"/>
    <x v="1"/>
    <n v="1181"/>
    <x v="0"/>
    <n v="3"/>
    <n v="10629"/>
    <n v="7"/>
    <x v="13"/>
    <n v="12"/>
    <n v="4.4000000000000004"/>
    <x v="2"/>
    <s v="High"/>
    <s v="Good"/>
    <n v="2"/>
    <n v="4"/>
    <x v="2"/>
    <s v="Delayed"/>
    <s v="Retail"/>
    <s v="Clothing"/>
    <s v="Low"/>
    <n v="4.9000000000000004"/>
    <n v="9"/>
    <s v="Yes"/>
    <s v="Needs Improvement"/>
  </r>
  <r>
    <s v="SHP1152"/>
    <d v="2026-01-26T00:00:00"/>
    <d v="2026-01-28T00:00:00"/>
    <d v="2026-02-03T00:00:00"/>
    <s v="Indore"/>
    <s v="Hyderabad"/>
    <x v="5"/>
    <n v="1596"/>
    <x v="3"/>
    <n v="8"/>
    <n v="17556"/>
    <n v="6"/>
    <x v="25"/>
    <n v="13"/>
    <n v="3.6"/>
    <x v="0"/>
    <s v="Medium"/>
    <s v="Poor"/>
    <n v="3"/>
    <n v="6"/>
    <x v="3"/>
    <s v="Delayed"/>
    <s v="Corporate"/>
    <s v="Clothing"/>
    <s v="Low"/>
    <n v="3.5"/>
    <n v="11"/>
    <s v="Yes"/>
    <s v="Needs Improvement"/>
  </r>
  <r>
    <s v="SHP1153"/>
    <d v="2026-01-20T00:00:00"/>
    <d v="2026-01-22T00:00:00"/>
    <d v="2026-01-30T00:00:00"/>
    <s v="Lucknow"/>
    <s v="Delhi"/>
    <x v="7"/>
    <n v="972"/>
    <x v="3"/>
    <n v="8"/>
    <n v="9720"/>
    <n v="8"/>
    <x v="30"/>
    <n v="7"/>
    <n v="4.0999999999999996"/>
    <x v="2"/>
    <s v="High"/>
    <s v="Good"/>
    <n v="2"/>
    <n v="8"/>
    <x v="6"/>
    <s v="Delayed"/>
    <s v="Wholesale"/>
    <s v="Machinery"/>
    <s v="High"/>
    <n v="4.8"/>
    <n v="10"/>
    <s v="Yes"/>
    <s v="Needs Improvement"/>
  </r>
  <r>
    <s v="SHP1154"/>
    <d v="2026-01-14T00:00:00"/>
    <d v="2026-01-14T00:00:00"/>
    <d v="2026-01-15T00:00:00"/>
    <s v="Ahmedabad"/>
    <s v="Jaipur"/>
    <x v="2"/>
    <n v="540"/>
    <x v="3"/>
    <n v="10"/>
    <n v="5940"/>
    <n v="10"/>
    <x v="12"/>
    <n v="7"/>
    <n v="4.9000000000000004"/>
    <x v="3"/>
    <s v="Medium"/>
    <s v="Good"/>
    <n v="1"/>
    <n v="1"/>
    <x v="0"/>
    <s v="On Time"/>
    <s v="Retail"/>
    <s v="Furniture"/>
    <s v="High"/>
    <n v="4.5"/>
    <n v="11"/>
    <s v="No"/>
    <s v="Efficient"/>
  </r>
  <r>
    <s v="SHP1155"/>
    <d v="2026-03-13T00:00:00"/>
    <d v="2026-03-15T00:00:00"/>
    <d v="2026-03-18T00:00:00"/>
    <s v="Chennai"/>
    <s v="Bangalore"/>
    <x v="1"/>
    <n v="1112"/>
    <x v="0"/>
    <n v="7"/>
    <n v="10008"/>
    <n v="10"/>
    <x v="30"/>
    <n v="12"/>
    <n v="4"/>
    <x v="3"/>
    <s v="Low"/>
    <s v="Average"/>
    <n v="2"/>
    <n v="3"/>
    <x v="1"/>
    <s v="Delayed"/>
    <s v="Retail"/>
    <s v="Electronics"/>
    <s v="Low"/>
    <n v="4.7"/>
    <n v="9"/>
    <s v="Yes"/>
    <s v="Needs Improvement"/>
  </r>
  <r>
    <s v="SHP1156"/>
    <d v="2026-04-04T00:00:00"/>
    <d v="2026-04-04T00:00:00"/>
    <d v="2026-04-08T00:00:00"/>
    <s v="Ahmedabad"/>
    <s v="Jaipur"/>
    <x v="2"/>
    <n v="838"/>
    <x v="0"/>
    <n v="8"/>
    <n v="10056"/>
    <n v="6"/>
    <x v="9"/>
    <n v="8"/>
    <n v="3.7"/>
    <x v="0"/>
    <s v="Medium"/>
    <s v="Poor"/>
    <n v="1"/>
    <n v="4"/>
    <x v="3"/>
    <s v="Delayed"/>
    <s v="Retail"/>
    <s v="Electronics"/>
    <s v="Medium"/>
    <n v="3.1"/>
    <n v="12"/>
    <s v="Yes"/>
    <s v="Needs Improvement"/>
  </r>
  <r>
    <s v="SHP1157"/>
    <d v="2026-04-01T00:00:00"/>
    <d v="2026-04-01T00:00:00"/>
    <d v="2026-04-06T00:00:00"/>
    <s v="Delhi"/>
    <s v="Mumbai"/>
    <x v="0"/>
    <n v="902"/>
    <x v="3"/>
    <n v="3"/>
    <n v="9922"/>
    <n v="6"/>
    <x v="9"/>
    <n v="3"/>
    <n v="4.0999999999999996"/>
    <x v="3"/>
    <s v="High"/>
    <s v="Average"/>
    <n v="2"/>
    <n v="5"/>
    <x v="3"/>
    <s v="Delayed"/>
    <s v="Wholesale"/>
    <s v="Furniture"/>
    <s v="Low"/>
    <n v="4.3"/>
    <n v="11"/>
    <s v="Yes"/>
    <s v="Needs Improvement"/>
  </r>
  <r>
    <s v="SHP1158"/>
    <d v="2026-02-25T00:00:00"/>
    <d v="2026-02-26T00:00:00"/>
    <d v="2026-03-01T00:00:00"/>
    <s v="Delhi"/>
    <s v="Mumbai"/>
    <x v="0"/>
    <n v="1710"/>
    <x v="2"/>
    <n v="8"/>
    <n v="17100"/>
    <n v="8"/>
    <x v="6"/>
    <n v="1"/>
    <n v="4.4000000000000004"/>
    <x v="1"/>
    <s v="Medium"/>
    <s v="Poor"/>
    <n v="3"/>
    <n v="3"/>
    <x v="0"/>
    <s v="On Time"/>
    <s v="Wholesale"/>
    <s v="Furniture"/>
    <s v="Medium"/>
    <n v="3.7"/>
    <n v="10"/>
    <s v="No"/>
    <s v="Efficient"/>
  </r>
  <r>
    <s v="SHP1159"/>
    <d v="2026-02-28T00:00:00"/>
    <d v="2026-02-28T00:00:00"/>
    <d v="2026-03-04T00:00:00"/>
    <s v="Kolkata"/>
    <s v="Patna"/>
    <x v="3"/>
    <n v="1573"/>
    <x v="1"/>
    <n v="9"/>
    <n v="17303"/>
    <n v="7"/>
    <x v="48"/>
    <n v="7"/>
    <n v="4.2"/>
    <x v="0"/>
    <s v="Medium"/>
    <s v="Average"/>
    <n v="3"/>
    <n v="4"/>
    <x v="1"/>
    <s v="Delayed"/>
    <s v="Wholesale"/>
    <s v="Furniture"/>
    <s v="High"/>
    <n v="4.4000000000000004"/>
    <n v="11"/>
    <s v="Yes"/>
    <s v="Needs Improvement"/>
  </r>
  <r>
    <s v="SHP1160"/>
    <d v="2026-02-08T00:00:00"/>
    <d v="2026-02-10T00:00:00"/>
    <d v="2026-02-14T00:00:00"/>
    <s v="Bhopal"/>
    <s v="Pune"/>
    <x v="4"/>
    <n v="1576"/>
    <x v="2"/>
    <n v="6"/>
    <n v="9456"/>
    <n v="6"/>
    <x v="26"/>
    <n v="2"/>
    <n v="3.4"/>
    <x v="1"/>
    <s v="High"/>
    <s v="Average"/>
    <n v="3"/>
    <n v="4"/>
    <x v="1"/>
    <s v="Delayed"/>
    <s v="Wholesale"/>
    <s v="Food"/>
    <s v="Medium"/>
    <n v="3.4"/>
    <n v="6"/>
    <s v="Yes"/>
    <s v="Needs Improvement"/>
  </r>
  <r>
    <s v="SHP1161"/>
    <d v="2026-03-23T00:00:00"/>
    <d v="2026-03-25T00:00:00"/>
    <d v="2026-03-28T00:00:00"/>
    <s v="Indore"/>
    <s v="Hyderabad"/>
    <x v="5"/>
    <n v="1336"/>
    <x v="2"/>
    <n v="8"/>
    <n v="10688"/>
    <n v="6"/>
    <x v="49"/>
    <n v="6"/>
    <n v="4.7"/>
    <x v="0"/>
    <s v="Medium"/>
    <s v="Good"/>
    <n v="2"/>
    <n v="3"/>
    <x v="1"/>
    <s v="Delayed"/>
    <s v="Corporate"/>
    <s v="Furniture"/>
    <s v="Medium"/>
    <n v="4.9000000000000004"/>
    <n v="8"/>
    <s v="Yes"/>
    <s v="Needs Improvement"/>
  </r>
  <r>
    <s v="SHP1162"/>
    <d v="2026-03-06T00:00:00"/>
    <d v="2026-03-08T00:00:00"/>
    <d v="2026-03-10T00:00:00"/>
    <s v="Nagpur"/>
    <s v="Surat"/>
    <x v="6"/>
    <n v="1037"/>
    <x v="1"/>
    <n v="7"/>
    <n v="11407"/>
    <n v="8"/>
    <x v="32"/>
    <n v="3"/>
    <n v="3.2"/>
    <x v="0"/>
    <s v="Low"/>
    <s v="Average"/>
    <n v="2"/>
    <n v="2"/>
    <x v="0"/>
    <s v="On Time"/>
    <s v="Retail"/>
    <s v="Furniture"/>
    <s v="High"/>
    <n v="3.6"/>
    <n v="11"/>
    <s v="No"/>
    <s v="Efficient"/>
  </r>
  <r>
    <s v="SHP1163"/>
    <d v="2026-04-10T00:00:00"/>
    <d v="2026-04-11T00:00:00"/>
    <d v="2026-04-14T00:00:00"/>
    <s v="Nagpur"/>
    <s v="Surat"/>
    <x v="6"/>
    <n v="1325"/>
    <x v="3"/>
    <n v="10"/>
    <n v="7950"/>
    <n v="7"/>
    <x v="36"/>
    <n v="9"/>
    <n v="4.5999999999999996"/>
    <x v="3"/>
    <s v="High"/>
    <s v="Good"/>
    <n v="2"/>
    <n v="3"/>
    <x v="1"/>
    <s v="Delayed"/>
    <s v="Retail"/>
    <s v="Electronics"/>
    <s v="High"/>
    <n v="4.7"/>
    <n v="6"/>
    <s v="Yes"/>
    <s v="Needs Improvement"/>
  </r>
  <r>
    <s v="SHP1164"/>
    <d v="2026-04-07T00:00:00"/>
    <d v="2026-04-07T00:00:00"/>
    <d v="2026-04-10T00:00:00"/>
    <s v="Kolkata"/>
    <s v="Patna"/>
    <x v="3"/>
    <n v="266"/>
    <x v="1"/>
    <n v="5"/>
    <n v="2128"/>
    <n v="5"/>
    <x v="25"/>
    <n v="14"/>
    <n v="5"/>
    <x v="1"/>
    <s v="Low"/>
    <s v="Poor"/>
    <n v="1"/>
    <n v="3"/>
    <x v="2"/>
    <s v="Delayed"/>
    <s v="Wholesale"/>
    <s v="Machinery"/>
    <s v="High"/>
    <n v="3.9"/>
    <n v="8"/>
    <s v="Yes"/>
    <s v="Needs Improvement"/>
  </r>
  <r>
    <s v="SHP1165"/>
    <d v="2026-03-20T00:00:00"/>
    <d v="2026-03-20T00:00:00"/>
    <d v="2026-03-23T00:00:00"/>
    <s v="Chennai"/>
    <s v="Bangalore"/>
    <x v="1"/>
    <n v="623"/>
    <x v="3"/>
    <n v="10"/>
    <n v="4984"/>
    <n v="9"/>
    <x v="1"/>
    <n v="10"/>
    <n v="4.0999999999999996"/>
    <x v="3"/>
    <s v="High"/>
    <s v="Average"/>
    <n v="1"/>
    <n v="3"/>
    <x v="2"/>
    <s v="Delayed"/>
    <s v="Wholesale"/>
    <s v="Electronics"/>
    <s v="Low"/>
    <n v="4.9000000000000004"/>
    <n v="8"/>
    <s v="Yes"/>
    <s v="Needs Improvement"/>
  </r>
  <r>
    <s v="SHP1166"/>
    <d v="2026-04-11T00:00:00"/>
    <d v="2026-04-12T00:00:00"/>
    <d v="2026-04-15T00:00:00"/>
    <s v="Delhi"/>
    <s v="Mumbai"/>
    <x v="0"/>
    <n v="767"/>
    <x v="2"/>
    <n v="3"/>
    <n v="5369"/>
    <n v="6"/>
    <x v="47"/>
    <n v="6"/>
    <n v="4.7"/>
    <x v="2"/>
    <s v="Medium"/>
    <s v="Good"/>
    <n v="1"/>
    <n v="3"/>
    <x v="2"/>
    <s v="Delayed"/>
    <s v="Wholesale"/>
    <s v="Food"/>
    <s v="Medium"/>
    <n v="3.9"/>
    <n v="7"/>
    <s v="Yes"/>
    <s v="Needs Improvement"/>
  </r>
  <r>
    <s v="SHP1167"/>
    <d v="2026-03-23T00:00:00"/>
    <d v="2026-03-23T00:00:00"/>
    <d v="2026-03-25T00:00:00"/>
    <s v="Lucknow"/>
    <s v="Delhi"/>
    <x v="7"/>
    <n v="1255"/>
    <x v="0"/>
    <n v="6"/>
    <n v="11295"/>
    <n v="8"/>
    <x v="44"/>
    <n v="10"/>
    <n v="3"/>
    <x v="0"/>
    <s v="High"/>
    <s v="Average"/>
    <n v="2"/>
    <n v="2"/>
    <x v="0"/>
    <s v="On Time"/>
    <s v="Wholesale"/>
    <s v="Food"/>
    <s v="Low"/>
    <n v="4.9000000000000004"/>
    <n v="9"/>
    <s v="No"/>
    <s v="Efficient"/>
  </r>
  <r>
    <s v="SHP1168"/>
    <d v="2026-04-16T00:00:00"/>
    <d v="2026-04-16T00:00:00"/>
    <d v="2026-04-17T00:00:00"/>
    <s v="Nagpur"/>
    <s v="Surat"/>
    <x v="6"/>
    <n v="749"/>
    <x v="0"/>
    <n v="5"/>
    <n v="5992"/>
    <n v="9"/>
    <x v="16"/>
    <n v="3"/>
    <n v="4.0999999999999996"/>
    <x v="2"/>
    <s v="Medium"/>
    <s v="Poor"/>
    <n v="1"/>
    <n v="1"/>
    <x v="0"/>
    <s v="On Time"/>
    <s v="Corporate"/>
    <s v="Food"/>
    <s v="Low"/>
    <n v="3.2"/>
    <n v="8"/>
    <s v="No"/>
    <s v="Efficient"/>
  </r>
  <r>
    <s v="SHP1169"/>
    <d v="2026-04-20T00:00:00"/>
    <d v="2026-04-20T00:00:00"/>
    <d v="2026-04-24T00:00:00"/>
    <s v="Nagpur"/>
    <s v="Surat"/>
    <x v="6"/>
    <n v="1134"/>
    <x v="3"/>
    <n v="7"/>
    <n v="7938"/>
    <n v="10"/>
    <x v="31"/>
    <n v="15"/>
    <n v="4.3"/>
    <x v="1"/>
    <s v="Medium"/>
    <s v="Good"/>
    <n v="2"/>
    <n v="4"/>
    <x v="2"/>
    <s v="Delayed"/>
    <s v="Retail"/>
    <s v="Electronics"/>
    <s v="Medium"/>
    <n v="4.3"/>
    <n v="7"/>
    <s v="Yes"/>
    <s v="Needs Improvement"/>
  </r>
  <r>
    <s v="SHP1170"/>
    <d v="2026-03-25T00:00:00"/>
    <d v="2026-03-25T00:00:00"/>
    <d v="2026-03-27T00:00:00"/>
    <s v="Delhi"/>
    <s v="Mumbai"/>
    <x v="0"/>
    <n v="1011"/>
    <x v="0"/>
    <n v="4"/>
    <n v="9099"/>
    <n v="10"/>
    <x v="18"/>
    <n v="12"/>
    <n v="3.2"/>
    <x v="1"/>
    <s v="Medium"/>
    <s v="Good"/>
    <n v="2"/>
    <n v="2"/>
    <x v="0"/>
    <s v="On Time"/>
    <s v="Wholesale"/>
    <s v="Food"/>
    <s v="Low"/>
    <n v="3"/>
    <n v="9"/>
    <s v="No"/>
    <s v="Efficient"/>
  </r>
  <r>
    <s v="SHP1171"/>
    <d v="2026-02-13T00:00:00"/>
    <d v="2026-02-13T00:00:00"/>
    <d v="2026-02-17T00:00:00"/>
    <s v="Lucknow"/>
    <s v="Delhi"/>
    <x v="7"/>
    <n v="1621"/>
    <x v="2"/>
    <n v="8"/>
    <n v="9726"/>
    <n v="6"/>
    <x v="6"/>
    <n v="2"/>
    <n v="4.5"/>
    <x v="0"/>
    <s v="Low"/>
    <s v="Average"/>
    <n v="3"/>
    <n v="4"/>
    <x v="1"/>
    <s v="Delayed"/>
    <s v="Retail"/>
    <s v="Furniture"/>
    <s v="Medium"/>
    <n v="4.5"/>
    <n v="6"/>
    <s v="Yes"/>
    <s v="Needs Improvement"/>
  </r>
  <r>
    <s v="SHP1172"/>
    <d v="2026-04-07T00:00:00"/>
    <d v="2026-04-07T00:00:00"/>
    <d v="2026-04-11T00:00:00"/>
    <s v="Indore"/>
    <s v="Hyderabad"/>
    <x v="5"/>
    <n v="340"/>
    <x v="3"/>
    <n v="10"/>
    <n v="3740"/>
    <n v="6"/>
    <x v="25"/>
    <n v="6"/>
    <n v="4.4000000000000004"/>
    <x v="1"/>
    <s v="Medium"/>
    <s v="Poor"/>
    <n v="1"/>
    <n v="4"/>
    <x v="3"/>
    <s v="Delayed"/>
    <s v="Corporate"/>
    <s v="Electronics"/>
    <s v="Low"/>
    <n v="3.3"/>
    <n v="11"/>
    <s v="Yes"/>
    <s v="Needs Improvement"/>
  </r>
  <r>
    <s v="SHP1173"/>
    <d v="2026-01-16T00:00:00"/>
    <d v="2026-01-18T00:00:00"/>
    <d v="2026-01-20T00:00:00"/>
    <s v="Lucknow"/>
    <s v="Delhi"/>
    <x v="7"/>
    <n v="919"/>
    <x v="1"/>
    <n v="6"/>
    <n v="11028"/>
    <n v="6"/>
    <x v="24"/>
    <n v="5"/>
    <n v="4.3"/>
    <x v="1"/>
    <s v="High"/>
    <s v="Poor"/>
    <n v="2"/>
    <n v="2"/>
    <x v="0"/>
    <s v="On Time"/>
    <s v="Wholesale"/>
    <s v="Clothing"/>
    <s v="Low"/>
    <n v="4"/>
    <n v="12"/>
    <s v="No"/>
    <s v="Efficient"/>
  </r>
  <r>
    <s v="SHP1174"/>
    <d v="2026-03-07T00:00:00"/>
    <d v="2026-03-07T00:00:00"/>
    <d v="2026-03-10T00:00:00"/>
    <s v="Lucknow"/>
    <s v="Delhi"/>
    <x v="7"/>
    <n v="805"/>
    <x v="3"/>
    <n v="4"/>
    <n v="7245"/>
    <n v="8"/>
    <x v="21"/>
    <n v="4"/>
    <n v="4"/>
    <x v="0"/>
    <s v="High"/>
    <s v="Good"/>
    <n v="1"/>
    <n v="3"/>
    <x v="2"/>
    <s v="Delayed"/>
    <s v="Corporate"/>
    <s v="Food"/>
    <s v="High"/>
    <n v="3.8"/>
    <n v="9"/>
    <s v="Yes"/>
    <s v="Needs Improvement"/>
  </r>
  <r>
    <s v="SHP1175"/>
    <d v="2026-03-11T00:00:00"/>
    <d v="2026-03-13T00:00:00"/>
    <d v="2026-03-17T00:00:00"/>
    <s v="Indore"/>
    <s v="Hyderabad"/>
    <x v="5"/>
    <n v="1762"/>
    <x v="1"/>
    <n v="2"/>
    <n v="10572"/>
    <n v="9"/>
    <x v="35"/>
    <n v="1"/>
    <n v="3.5"/>
    <x v="0"/>
    <s v="Low"/>
    <s v="Average"/>
    <n v="3"/>
    <n v="4"/>
    <x v="1"/>
    <s v="Delayed"/>
    <s v="Wholesale"/>
    <s v="Machinery"/>
    <s v="Medium"/>
    <n v="3.8"/>
    <n v="6"/>
    <s v="Yes"/>
    <s v="Needs Improvement"/>
  </r>
  <r>
    <s v="SHP1176"/>
    <d v="2026-02-21T00:00:00"/>
    <d v="2026-02-21T00:00:00"/>
    <d v="2026-02-22T00:00:00"/>
    <s v="Indore"/>
    <s v="Hyderabad"/>
    <x v="5"/>
    <n v="768"/>
    <x v="3"/>
    <n v="5"/>
    <n v="4608"/>
    <n v="9"/>
    <x v="11"/>
    <n v="13"/>
    <n v="3.3"/>
    <x v="3"/>
    <s v="Medium"/>
    <s v="Poor"/>
    <n v="1"/>
    <n v="1"/>
    <x v="0"/>
    <s v="On Time"/>
    <s v="Retail"/>
    <s v="Food"/>
    <s v="High"/>
    <n v="4.9000000000000004"/>
    <n v="6"/>
    <s v="No"/>
    <s v="Efficient"/>
  </r>
  <r>
    <s v="SHP1177"/>
    <d v="2026-01-31T00:00:00"/>
    <d v="2026-01-31T00:00:00"/>
    <d v="2026-02-02T00:00:00"/>
    <s v="Chennai"/>
    <s v="Bangalore"/>
    <x v="1"/>
    <n v="376"/>
    <x v="1"/>
    <n v="2"/>
    <n v="3384"/>
    <n v="9"/>
    <x v="48"/>
    <n v="1"/>
    <n v="3.6"/>
    <x v="1"/>
    <s v="Low"/>
    <s v="Good"/>
    <n v="1"/>
    <n v="2"/>
    <x v="1"/>
    <s v="Delayed"/>
    <s v="Wholesale"/>
    <s v="Electronics"/>
    <s v="Low"/>
    <n v="4"/>
    <n v="9"/>
    <s v="Yes"/>
    <s v="Needs Improvement"/>
  </r>
  <r>
    <s v="SHP1178"/>
    <d v="2026-02-14T00:00:00"/>
    <d v="2026-02-16T00:00:00"/>
    <d v="2026-02-18T00:00:00"/>
    <s v="Kolkata"/>
    <s v="Patna"/>
    <x v="3"/>
    <n v="541"/>
    <x v="0"/>
    <n v="3"/>
    <n v="5951"/>
    <n v="7"/>
    <x v="7"/>
    <n v="15"/>
    <n v="3.2"/>
    <x v="0"/>
    <s v="Medium"/>
    <s v="Average"/>
    <n v="1"/>
    <n v="2"/>
    <x v="1"/>
    <s v="Delayed"/>
    <s v="Wholesale"/>
    <s v="Electronics"/>
    <s v="Medium"/>
    <n v="4.4000000000000004"/>
    <n v="11"/>
    <s v="Yes"/>
    <s v="Needs Improvement"/>
  </r>
  <r>
    <s v="SHP1179"/>
    <d v="2026-03-15T00:00:00"/>
    <d v="2026-03-17T00:00:00"/>
    <d v="2026-03-21T00:00:00"/>
    <s v="Bhopal"/>
    <s v="Pune"/>
    <x v="4"/>
    <n v="1216"/>
    <x v="1"/>
    <n v="9"/>
    <n v="9728"/>
    <n v="5"/>
    <x v="32"/>
    <n v="14"/>
    <n v="4.0999999999999996"/>
    <x v="3"/>
    <s v="Low"/>
    <s v="Average"/>
    <n v="2"/>
    <n v="4"/>
    <x v="2"/>
    <s v="Delayed"/>
    <s v="Wholesale"/>
    <s v="Electronics"/>
    <s v="Low"/>
    <n v="4.5"/>
    <n v="8"/>
    <s v="Yes"/>
    <s v="Needs Improvement"/>
  </r>
  <r>
    <s v="SHP1180"/>
    <d v="2026-01-01T00:00:00"/>
    <d v="2026-01-01T00:00:00"/>
    <d v="2026-01-03T00:00:00"/>
    <s v="Delhi"/>
    <s v="Mumbai"/>
    <x v="0"/>
    <n v="700"/>
    <x v="3"/>
    <n v="8"/>
    <n v="5600"/>
    <n v="8"/>
    <x v="5"/>
    <n v="3"/>
    <n v="4.9000000000000004"/>
    <x v="0"/>
    <s v="High"/>
    <s v="Poor"/>
    <n v="1"/>
    <n v="2"/>
    <x v="1"/>
    <s v="Delayed"/>
    <s v="Retail"/>
    <s v="Furniture"/>
    <s v="Medium"/>
    <n v="4.8"/>
    <n v="8"/>
    <s v="Yes"/>
    <s v="Needs Improvement"/>
  </r>
  <r>
    <s v="SHP1181"/>
    <d v="2026-02-10T00:00:00"/>
    <d v="2026-02-11T00:00:00"/>
    <d v="2026-02-15T00:00:00"/>
    <s v="Bhopal"/>
    <s v="Pune"/>
    <x v="4"/>
    <n v="1370"/>
    <x v="0"/>
    <n v="2"/>
    <n v="13700"/>
    <n v="10"/>
    <x v="42"/>
    <n v="3"/>
    <n v="3.4"/>
    <x v="0"/>
    <s v="Medium"/>
    <s v="Good"/>
    <n v="3"/>
    <n v="4"/>
    <x v="1"/>
    <s v="Delayed"/>
    <s v="Retail"/>
    <s v="Clothing"/>
    <s v="Medium"/>
    <n v="3.2"/>
    <n v="10"/>
    <s v="Yes"/>
    <s v="Needs Improvement"/>
  </r>
  <r>
    <s v="SHP1182"/>
    <d v="2026-02-28T00:00:00"/>
    <d v="2026-02-28T00:00:00"/>
    <d v="2026-03-05T00:00:00"/>
    <s v="Ahmedabad"/>
    <s v="Jaipur"/>
    <x v="2"/>
    <n v="610"/>
    <x v="0"/>
    <n v="10"/>
    <n v="7320"/>
    <n v="7"/>
    <x v="0"/>
    <n v="10"/>
    <n v="3.5"/>
    <x v="3"/>
    <s v="High"/>
    <s v="Average"/>
    <n v="1"/>
    <n v="5"/>
    <x v="4"/>
    <s v="Delayed"/>
    <s v="Corporate"/>
    <s v="Furniture"/>
    <s v="Low"/>
    <n v="4.9000000000000004"/>
    <n v="12"/>
    <s v="Yes"/>
    <s v="Needs Improvement"/>
  </r>
  <r>
    <s v="SHP1183"/>
    <d v="2026-01-04T00:00:00"/>
    <d v="2026-01-04T00:00:00"/>
    <d v="2026-01-08T00:00:00"/>
    <s v="Ahmedabad"/>
    <s v="Jaipur"/>
    <x v="2"/>
    <n v="1502"/>
    <x v="3"/>
    <n v="6"/>
    <n v="9012"/>
    <n v="10"/>
    <x v="6"/>
    <n v="14"/>
    <n v="4.5"/>
    <x v="3"/>
    <s v="Low"/>
    <s v="Good"/>
    <n v="3"/>
    <n v="4"/>
    <x v="1"/>
    <s v="Delayed"/>
    <s v="Retail"/>
    <s v="Food"/>
    <s v="Low"/>
    <n v="4.9000000000000004"/>
    <n v="6"/>
    <s v="Yes"/>
    <s v="Needs Improvement"/>
  </r>
  <r>
    <s v="SHP1184"/>
    <d v="2026-01-19T00:00:00"/>
    <d v="2026-01-21T00:00:00"/>
    <d v="2026-01-23T00:00:00"/>
    <s v="Kolkata"/>
    <s v="Patna"/>
    <x v="3"/>
    <n v="390"/>
    <x v="3"/>
    <n v="4"/>
    <n v="4680"/>
    <n v="9"/>
    <x v="19"/>
    <n v="12"/>
    <n v="4.8"/>
    <x v="2"/>
    <s v="High"/>
    <s v="Good"/>
    <n v="1"/>
    <n v="2"/>
    <x v="1"/>
    <s v="Delayed"/>
    <s v="Wholesale"/>
    <s v="Food"/>
    <s v="Low"/>
    <n v="4.2"/>
    <n v="12"/>
    <s v="Yes"/>
    <s v="Needs Improvement"/>
  </r>
  <r>
    <s v="SHP1185"/>
    <d v="2026-01-08T00:00:00"/>
    <d v="2026-01-09T00:00:00"/>
    <d v="2026-01-10T00:00:00"/>
    <s v="Indore"/>
    <s v="Hyderabad"/>
    <x v="5"/>
    <n v="684"/>
    <x v="0"/>
    <n v="5"/>
    <n v="8208"/>
    <n v="7"/>
    <x v="41"/>
    <n v="12"/>
    <n v="4.7"/>
    <x v="3"/>
    <s v="Medium"/>
    <s v="Average"/>
    <n v="1"/>
    <n v="1"/>
    <x v="0"/>
    <s v="On Time"/>
    <s v="Corporate"/>
    <s v="Furniture"/>
    <s v="Low"/>
    <n v="4.5999999999999996"/>
    <n v="12"/>
    <s v="No"/>
    <s v="Efficient"/>
  </r>
  <r>
    <s v="SHP1186"/>
    <d v="2026-03-16T00:00:00"/>
    <d v="2026-03-16T00:00:00"/>
    <d v="2026-03-19T00:00:00"/>
    <s v="Indore"/>
    <s v="Hyderabad"/>
    <x v="5"/>
    <n v="416"/>
    <x v="2"/>
    <n v="8"/>
    <n v="3744"/>
    <n v="7"/>
    <x v="19"/>
    <n v="2"/>
    <n v="4.0999999999999996"/>
    <x v="1"/>
    <s v="Medium"/>
    <s v="Average"/>
    <n v="1"/>
    <n v="3"/>
    <x v="2"/>
    <s v="Delayed"/>
    <s v="Corporate"/>
    <s v="Electronics"/>
    <s v="Low"/>
    <n v="4.5999999999999996"/>
    <n v="9"/>
    <s v="Yes"/>
    <s v="Needs Improvement"/>
  </r>
  <r>
    <s v="SHP1187"/>
    <d v="2026-02-08T00:00:00"/>
    <d v="2026-02-10T00:00:00"/>
    <d v="2026-02-12T00:00:00"/>
    <s v="Delhi"/>
    <s v="Mumbai"/>
    <x v="0"/>
    <n v="640"/>
    <x v="0"/>
    <n v="3"/>
    <n v="3840"/>
    <n v="10"/>
    <x v="24"/>
    <n v="6"/>
    <n v="3.8"/>
    <x v="0"/>
    <s v="High"/>
    <s v="Average"/>
    <n v="1"/>
    <n v="2"/>
    <x v="1"/>
    <s v="Delayed"/>
    <s v="Corporate"/>
    <s v="Food"/>
    <s v="Medium"/>
    <n v="4.0999999999999996"/>
    <n v="6"/>
    <s v="Yes"/>
    <s v="Needs Improvement"/>
  </r>
  <r>
    <s v="SHP1188"/>
    <d v="2026-03-12T00:00:00"/>
    <d v="2026-03-12T00:00:00"/>
    <d v="2026-03-15T00:00:00"/>
    <s v="Bhopal"/>
    <s v="Pune"/>
    <x v="4"/>
    <n v="1146"/>
    <x v="3"/>
    <n v="3"/>
    <n v="6876"/>
    <n v="5"/>
    <x v="42"/>
    <n v="14"/>
    <n v="4.5999999999999996"/>
    <x v="1"/>
    <s v="Low"/>
    <s v="Good"/>
    <n v="2"/>
    <n v="3"/>
    <x v="1"/>
    <s v="Delayed"/>
    <s v="Wholesale"/>
    <s v="Electronics"/>
    <s v="High"/>
    <n v="4.2"/>
    <n v="6"/>
    <s v="Yes"/>
    <s v="Needs Improvement"/>
  </r>
  <r>
    <s v="SHP1189"/>
    <d v="2026-04-28T00:00:00"/>
    <d v="2026-04-28T00:00:00"/>
    <d v="2026-04-29T00:00:00"/>
    <s v="Delhi"/>
    <s v="Mumbai"/>
    <x v="0"/>
    <n v="332"/>
    <x v="2"/>
    <n v="8"/>
    <n v="3984"/>
    <n v="6"/>
    <x v="18"/>
    <n v="15"/>
    <n v="4.7"/>
    <x v="3"/>
    <s v="Low"/>
    <s v="Good"/>
    <n v="1"/>
    <n v="1"/>
    <x v="0"/>
    <s v="On Time"/>
    <s v="Corporate"/>
    <s v="Machinery"/>
    <s v="Medium"/>
    <n v="4.5999999999999996"/>
    <n v="12"/>
    <s v="No"/>
    <s v="Efficient"/>
  </r>
  <r>
    <s v="SHP1190"/>
    <d v="2026-02-20T00:00:00"/>
    <d v="2026-02-21T00:00:00"/>
    <d v="2026-02-27T00:00:00"/>
    <s v="Delhi"/>
    <s v="Mumbai"/>
    <x v="0"/>
    <n v="983"/>
    <x v="1"/>
    <n v="3"/>
    <n v="7864"/>
    <n v="6"/>
    <x v="49"/>
    <n v="5"/>
    <n v="3.6"/>
    <x v="1"/>
    <s v="Low"/>
    <s v="Poor"/>
    <n v="2"/>
    <n v="6"/>
    <x v="4"/>
    <s v="Delayed"/>
    <s v="Corporate"/>
    <s v="Clothing"/>
    <s v="Medium"/>
    <n v="3.8"/>
    <n v="8"/>
    <s v="Yes"/>
    <s v="Needs Improvement"/>
  </r>
  <r>
    <s v="SHP1191"/>
    <d v="2026-03-12T00:00:00"/>
    <d v="2026-03-13T00:00:00"/>
    <d v="2026-03-16T00:00:00"/>
    <s v="Delhi"/>
    <s v="Mumbai"/>
    <x v="0"/>
    <n v="379"/>
    <x v="0"/>
    <n v="7"/>
    <n v="2653"/>
    <n v="8"/>
    <x v="34"/>
    <n v="11"/>
    <n v="4.8"/>
    <x v="1"/>
    <s v="High"/>
    <s v="Poor"/>
    <n v="1"/>
    <n v="3"/>
    <x v="2"/>
    <s v="Delayed"/>
    <s v="Retail"/>
    <s v="Machinery"/>
    <s v="Medium"/>
    <n v="3.7"/>
    <n v="7"/>
    <s v="Yes"/>
    <s v="Needs Improvement"/>
  </r>
  <r>
    <s v="SHP1192"/>
    <d v="2026-03-14T00:00:00"/>
    <d v="2026-03-16T00:00:00"/>
    <d v="2026-03-20T00:00:00"/>
    <s v="Ahmedabad"/>
    <s v="Jaipur"/>
    <x v="2"/>
    <n v="995"/>
    <x v="0"/>
    <n v="3"/>
    <n v="5970"/>
    <n v="7"/>
    <x v="48"/>
    <n v="4"/>
    <n v="3.1"/>
    <x v="3"/>
    <s v="Low"/>
    <s v="Average"/>
    <n v="2"/>
    <n v="4"/>
    <x v="2"/>
    <s v="Delayed"/>
    <s v="Wholesale"/>
    <s v="Furniture"/>
    <s v="Low"/>
    <n v="3.2"/>
    <n v="6"/>
    <s v="Yes"/>
    <s v="Needs Improvement"/>
  </r>
  <r>
    <s v="SHP1193"/>
    <d v="2026-03-26T00:00:00"/>
    <d v="2026-03-26T00:00:00"/>
    <d v="2026-03-30T00:00:00"/>
    <s v="Kolkata"/>
    <s v="Patna"/>
    <x v="3"/>
    <n v="1292"/>
    <x v="3"/>
    <n v="4"/>
    <n v="12920"/>
    <n v="8"/>
    <x v="38"/>
    <n v="15"/>
    <n v="4.7"/>
    <x v="1"/>
    <s v="Low"/>
    <s v="Good"/>
    <n v="2"/>
    <n v="4"/>
    <x v="2"/>
    <s v="Delayed"/>
    <s v="Wholesale"/>
    <s v="Clothing"/>
    <s v="High"/>
    <n v="3.1"/>
    <n v="10"/>
    <s v="Yes"/>
    <s v="Needs Improvement"/>
  </r>
  <r>
    <s v="SHP1194"/>
    <d v="2026-03-31T00:00:00"/>
    <d v="2026-04-01T00:00:00"/>
    <d v="2026-04-05T00:00:00"/>
    <s v="Indore"/>
    <s v="Hyderabad"/>
    <x v="5"/>
    <n v="1353"/>
    <x v="2"/>
    <n v="8"/>
    <n v="13530"/>
    <n v="7"/>
    <x v="49"/>
    <n v="8"/>
    <n v="3.1"/>
    <x v="0"/>
    <s v="Low"/>
    <s v="Poor"/>
    <n v="3"/>
    <n v="4"/>
    <x v="1"/>
    <s v="Delayed"/>
    <s v="Corporate"/>
    <s v="Machinery"/>
    <s v="Medium"/>
    <n v="3"/>
    <n v="10"/>
    <s v="Yes"/>
    <s v="Needs Improvement"/>
  </r>
  <r>
    <s v="SHP1195"/>
    <d v="2026-04-28T00:00:00"/>
    <d v="2026-04-30T00:00:00"/>
    <d v="2026-05-01T00:00:00"/>
    <s v="Chennai"/>
    <s v="Bangalore"/>
    <x v="1"/>
    <n v="467"/>
    <x v="0"/>
    <n v="3"/>
    <n v="5604"/>
    <n v="7"/>
    <x v="42"/>
    <n v="1"/>
    <n v="3.3"/>
    <x v="1"/>
    <s v="Low"/>
    <s v="Poor"/>
    <n v="1"/>
    <n v="1"/>
    <x v="0"/>
    <s v="On Time"/>
    <s v="Retail"/>
    <s v="Food"/>
    <s v="High"/>
    <n v="3.2"/>
    <n v="12"/>
    <s v="No"/>
    <s v="Efficient"/>
  </r>
  <r>
    <s v="SHP1196"/>
    <d v="2026-02-08T00:00:00"/>
    <d v="2026-02-09T00:00:00"/>
    <d v="2026-02-11T00:00:00"/>
    <s v="Indore"/>
    <s v="Hyderabad"/>
    <x v="5"/>
    <n v="522"/>
    <x v="1"/>
    <n v="8"/>
    <n v="5742"/>
    <n v="7"/>
    <x v="49"/>
    <n v="12"/>
    <n v="4.9000000000000004"/>
    <x v="3"/>
    <s v="Low"/>
    <s v="Poor"/>
    <n v="1"/>
    <n v="2"/>
    <x v="1"/>
    <s v="Delayed"/>
    <s v="Retail"/>
    <s v="Clothing"/>
    <s v="High"/>
    <n v="4.4000000000000004"/>
    <n v="11"/>
    <s v="Yes"/>
    <s v="Needs Improvement"/>
  </r>
  <r>
    <s v="SHP1197"/>
    <d v="2026-01-17T00:00:00"/>
    <d v="2026-01-17T00:00:00"/>
    <d v="2026-01-21T00:00:00"/>
    <s v="Delhi"/>
    <s v="Mumbai"/>
    <x v="0"/>
    <n v="1637"/>
    <x v="1"/>
    <n v="10"/>
    <n v="9822"/>
    <n v="6"/>
    <x v="48"/>
    <n v="6"/>
    <n v="4.8"/>
    <x v="1"/>
    <s v="High"/>
    <s v="Poor"/>
    <n v="3"/>
    <n v="4"/>
    <x v="1"/>
    <s v="Delayed"/>
    <s v="Retail"/>
    <s v="Electronics"/>
    <s v="Low"/>
    <n v="3.7"/>
    <n v="6"/>
    <s v="Yes"/>
    <s v="Needs Improvement"/>
  </r>
  <r>
    <s v="SHP1198"/>
    <d v="2026-02-10T00:00:00"/>
    <d v="2026-02-10T00:00:00"/>
    <d v="2026-02-13T00:00:00"/>
    <s v="Bhopal"/>
    <s v="Pune"/>
    <x v="4"/>
    <n v="1651"/>
    <x v="0"/>
    <n v="8"/>
    <n v="9906"/>
    <n v="7"/>
    <x v="11"/>
    <n v="4"/>
    <n v="4.4000000000000004"/>
    <x v="3"/>
    <s v="Medium"/>
    <s v="Good"/>
    <n v="3"/>
    <n v="3"/>
    <x v="0"/>
    <s v="On Time"/>
    <s v="Corporate"/>
    <s v="Food"/>
    <s v="Medium"/>
    <n v="4.5"/>
    <n v="6"/>
    <s v="No"/>
    <s v="Efficient"/>
  </r>
  <r>
    <s v="SHP1199"/>
    <d v="2026-01-22T00:00:00"/>
    <d v="2026-01-23T00:00:00"/>
    <d v="2026-01-25T00:00:00"/>
    <s v="Nagpur"/>
    <s v="Surat"/>
    <x v="6"/>
    <n v="975"/>
    <x v="0"/>
    <n v="9"/>
    <n v="8775"/>
    <n v="5"/>
    <x v="20"/>
    <n v="13"/>
    <n v="4.7"/>
    <x v="1"/>
    <s v="Low"/>
    <s v="Average"/>
    <n v="2"/>
    <n v="2"/>
    <x v="0"/>
    <s v="On Time"/>
    <s v="Retail"/>
    <s v="Electronics"/>
    <s v="Medium"/>
    <n v="3.5"/>
    <n v="9"/>
    <s v="No"/>
    <s v="Efficient"/>
  </r>
  <r>
    <s v="SHP1200"/>
    <d v="2026-01-14T00:00:00"/>
    <d v="2026-01-14T00:00:00"/>
    <d v="2026-01-15T00:00:00"/>
    <s v="Ahmedabad"/>
    <s v="Jaipur"/>
    <x v="2"/>
    <n v="548"/>
    <x v="1"/>
    <n v="3"/>
    <n v="6028"/>
    <n v="5"/>
    <x v="10"/>
    <n v="15"/>
    <n v="5"/>
    <x v="3"/>
    <s v="High"/>
    <s v="Poor"/>
    <n v="1"/>
    <n v="1"/>
    <x v="0"/>
    <s v="On Time"/>
    <s v="Retail"/>
    <s v="Furniture"/>
    <s v="High"/>
    <n v="4.8"/>
    <n v="11"/>
    <s v="No"/>
    <s v="Efficient"/>
  </r>
  <r>
    <s v="SHP1201"/>
    <d v="2026-01-21T00:00:00"/>
    <d v="2026-01-21T00:00:00"/>
    <d v="2026-01-22T00:00:00"/>
    <s v="Bhopal"/>
    <s v="Pune"/>
    <x v="4"/>
    <n v="878"/>
    <x v="2"/>
    <n v="4"/>
    <n v="7902"/>
    <n v="10"/>
    <x v="10"/>
    <n v="12"/>
    <n v="4.9000000000000004"/>
    <x v="3"/>
    <s v="High"/>
    <s v="Average"/>
    <n v="1"/>
    <n v="1"/>
    <x v="0"/>
    <s v="On Time"/>
    <s v="Corporate"/>
    <s v="Food"/>
    <s v="High"/>
    <n v="4.0999999999999996"/>
    <n v="9"/>
    <s v="No"/>
    <s v="Efficient"/>
  </r>
  <r>
    <s v="SHP1202"/>
    <d v="2026-03-04T00:00:00"/>
    <d v="2026-03-04T00:00:00"/>
    <d v="2026-03-06T00:00:00"/>
    <s v="Delhi"/>
    <s v="Mumbai"/>
    <x v="0"/>
    <n v="938"/>
    <x v="3"/>
    <n v="7"/>
    <n v="5628"/>
    <n v="7"/>
    <x v="15"/>
    <n v="11"/>
    <n v="4.2"/>
    <x v="1"/>
    <s v="Low"/>
    <s v="Good"/>
    <n v="2"/>
    <n v="2"/>
    <x v="0"/>
    <s v="On Time"/>
    <s v="Wholesale"/>
    <s v="Clothing"/>
    <s v="Low"/>
    <n v="3.9"/>
    <n v="6"/>
    <s v="No"/>
    <s v="Efficient"/>
  </r>
  <r>
    <s v="SHP1203"/>
    <d v="2026-01-15T00:00:00"/>
    <d v="2026-01-16T00:00:00"/>
    <d v="2026-01-18T00:00:00"/>
    <s v="Lucknow"/>
    <s v="Delhi"/>
    <x v="7"/>
    <n v="1164"/>
    <x v="1"/>
    <n v="5"/>
    <n v="6984"/>
    <n v="10"/>
    <x v="2"/>
    <n v="7"/>
    <n v="3.4"/>
    <x v="2"/>
    <s v="Medium"/>
    <s v="Good"/>
    <n v="2"/>
    <n v="2"/>
    <x v="0"/>
    <s v="On Time"/>
    <s v="Retail"/>
    <s v="Food"/>
    <s v="Medium"/>
    <n v="3.5"/>
    <n v="6"/>
    <s v="No"/>
    <s v="Efficient"/>
  </r>
  <r>
    <s v="SHP1204"/>
    <d v="2026-04-18T00:00:00"/>
    <d v="2026-04-19T00:00:00"/>
    <d v="2026-04-23T00:00:00"/>
    <s v="Delhi"/>
    <s v="Mumbai"/>
    <x v="0"/>
    <n v="509"/>
    <x v="3"/>
    <n v="2"/>
    <n v="5599"/>
    <n v="7"/>
    <x v="2"/>
    <n v="7"/>
    <n v="4.9000000000000004"/>
    <x v="1"/>
    <s v="High"/>
    <s v="Good"/>
    <n v="1"/>
    <n v="4"/>
    <x v="3"/>
    <s v="Delayed"/>
    <s v="Wholesale"/>
    <s v="Food"/>
    <s v="High"/>
    <n v="4.8"/>
    <n v="11"/>
    <s v="Yes"/>
    <s v="Needs Improvement"/>
  </r>
  <r>
    <s v="SHP1205"/>
    <d v="2026-03-02T00:00:00"/>
    <d v="2026-03-03T00:00:00"/>
    <d v="2026-03-05T00:00:00"/>
    <s v="Bhopal"/>
    <s v="Pune"/>
    <x v="4"/>
    <n v="1008"/>
    <x v="3"/>
    <n v="9"/>
    <n v="10080"/>
    <n v="9"/>
    <x v="16"/>
    <n v="11"/>
    <n v="5"/>
    <x v="1"/>
    <s v="Low"/>
    <s v="Average"/>
    <n v="2"/>
    <n v="2"/>
    <x v="0"/>
    <s v="On Time"/>
    <s v="Corporate"/>
    <s v="Furniture"/>
    <s v="Low"/>
    <n v="3.1"/>
    <n v="10"/>
    <s v="No"/>
    <s v="Efficient"/>
  </r>
  <r>
    <s v="SHP1206"/>
    <d v="2026-01-11T00:00:00"/>
    <d v="2026-01-13T00:00:00"/>
    <d v="2026-01-17T00:00:00"/>
    <s v="Lucknow"/>
    <s v="Delhi"/>
    <x v="7"/>
    <n v="613"/>
    <x v="2"/>
    <n v="10"/>
    <n v="4904"/>
    <n v="7"/>
    <x v="7"/>
    <n v="15"/>
    <n v="4.5999999999999996"/>
    <x v="0"/>
    <s v="Medium"/>
    <s v="Poor"/>
    <n v="1"/>
    <n v="4"/>
    <x v="3"/>
    <s v="Delayed"/>
    <s v="Wholesale"/>
    <s v="Clothing"/>
    <s v="Medium"/>
    <n v="4"/>
    <n v="8"/>
    <s v="Yes"/>
    <s v="Needs Improvement"/>
  </r>
  <r>
    <s v="SHP1207"/>
    <d v="2026-04-28T00:00:00"/>
    <d v="2026-04-28T00:00:00"/>
    <d v="2026-04-29T00:00:00"/>
    <s v="Lucknow"/>
    <s v="Delhi"/>
    <x v="7"/>
    <n v="430"/>
    <x v="1"/>
    <n v="3"/>
    <n v="3010"/>
    <n v="9"/>
    <x v="30"/>
    <n v="10"/>
    <n v="4.5"/>
    <x v="0"/>
    <s v="Low"/>
    <s v="Poor"/>
    <n v="1"/>
    <n v="1"/>
    <x v="0"/>
    <s v="On Time"/>
    <s v="Retail"/>
    <s v="Machinery"/>
    <s v="Medium"/>
    <n v="4.8"/>
    <n v="7"/>
    <s v="No"/>
    <s v="Efficient"/>
  </r>
  <r>
    <s v="SHP1208"/>
    <d v="2026-02-03T00:00:00"/>
    <d v="2026-02-04T00:00:00"/>
    <d v="2026-02-09T00:00:00"/>
    <s v="Nagpur"/>
    <s v="Surat"/>
    <x v="6"/>
    <n v="1371"/>
    <x v="1"/>
    <n v="1"/>
    <n v="9597"/>
    <n v="7"/>
    <x v="41"/>
    <n v="3"/>
    <n v="4.2"/>
    <x v="2"/>
    <s v="Low"/>
    <s v="Average"/>
    <n v="3"/>
    <n v="5"/>
    <x v="2"/>
    <s v="Delayed"/>
    <s v="Corporate"/>
    <s v="Electronics"/>
    <s v="High"/>
    <n v="4"/>
    <n v="7"/>
    <s v="Yes"/>
    <s v="Needs Improvement"/>
  </r>
  <r>
    <s v="SHP1209"/>
    <d v="2026-02-04T00:00:00"/>
    <d v="2026-02-05T00:00:00"/>
    <d v="2026-02-09T00:00:00"/>
    <s v="Delhi"/>
    <s v="Mumbai"/>
    <x v="0"/>
    <n v="891"/>
    <x v="0"/>
    <n v="5"/>
    <n v="7128"/>
    <n v="8"/>
    <x v="4"/>
    <n v="11"/>
    <n v="3.2"/>
    <x v="1"/>
    <s v="Low"/>
    <s v="Average"/>
    <n v="1"/>
    <n v="4"/>
    <x v="3"/>
    <s v="Delayed"/>
    <s v="Retail"/>
    <s v="Clothing"/>
    <s v="High"/>
    <n v="3.8"/>
    <n v="8"/>
    <s v="Yes"/>
    <s v="Needs Improvement"/>
  </r>
  <r>
    <s v="SHP1210"/>
    <d v="2026-03-24T00:00:00"/>
    <d v="2026-03-24T00:00:00"/>
    <d v="2026-03-27T00:00:00"/>
    <s v="Chennai"/>
    <s v="Bangalore"/>
    <x v="1"/>
    <n v="1104"/>
    <x v="2"/>
    <n v="7"/>
    <n v="12144"/>
    <n v="8"/>
    <x v="40"/>
    <n v="9"/>
    <n v="4.7"/>
    <x v="0"/>
    <s v="High"/>
    <s v="Good"/>
    <n v="2"/>
    <n v="3"/>
    <x v="1"/>
    <s v="Delayed"/>
    <s v="Wholesale"/>
    <s v="Machinery"/>
    <s v="Medium"/>
    <n v="3.3"/>
    <n v="11"/>
    <s v="Yes"/>
    <s v="Needs Improvement"/>
  </r>
  <r>
    <s v="SHP1211"/>
    <d v="2026-04-19T00:00:00"/>
    <d v="2026-04-21T00:00:00"/>
    <d v="2026-04-25T00:00:00"/>
    <s v="Delhi"/>
    <s v="Mumbai"/>
    <x v="0"/>
    <n v="555"/>
    <x v="2"/>
    <n v="4"/>
    <n v="6660"/>
    <n v="5"/>
    <x v="24"/>
    <n v="1"/>
    <n v="3.9"/>
    <x v="3"/>
    <s v="High"/>
    <s v="Good"/>
    <n v="1"/>
    <n v="4"/>
    <x v="3"/>
    <s v="Delayed"/>
    <s v="Wholesale"/>
    <s v="Food"/>
    <s v="High"/>
    <n v="4.8"/>
    <n v="12"/>
    <s v="Yes"/>
    <s v="Needs Improvement"/>
  </r>
  <r>
    <s v="SHP1212"/>
    <d v="2026-03-29T00:00:00"/>
    <d v="2026-03-29T00:00:00"/>
    <d v="2026-03-31T00:00:00"/>
    <s v="Chennai"/>
    <s v="Bangalore"/>
    <x v="1"/>
    <n v="962"/>
    <x v="1"/>
    <n v="10"/>
    <n v="8658"/>
    <n v="6"/>
    <x v="20"/>
    <n v="10"/>
    <n v="4.0999999999999996"/>
    <x v="3"/>
    <s v="Low"/>
    <s v="Average"/>
    <n v="2"/>
    <n v="2"/>
    <x v="0"/>
    <s v="On Time"/>
    <s v="Retail"/>
    <s v="Electronics"/>
    <s v="Medium"/>
    <n v="3.1"/>
    <n v="9"/>
    <s v="No"/>
    <s v="Efficient"/>
  </r>
  <r>
    <s v="SHP1213"/>
    <d v="2026-04-20T00:00:00"/>
    <d v="2026-04-22T00:00:00"/>
    <d v="2026-04-23T00:00:00"/>
    <s v="Chennai"/>
    <s v="Bangalore"/>
    <x v="1"/>
    <n v="653"/>
    <x v="2"/>
    <n v="4"/>
    <n v="5224"/>
    <n v="10"/>
    <x v="19"/>
    <n v="9"/>
    <n v="3"/>
    <x v="0"/>
    <s v="Medium"/>
    <s v="Good"/>
    <n v="1"/>
    <n v="1"/>
    <x v="0"/>
    <s v="On Time"/>
    <s v="Wholesale"/>
    <s v="Electronics"/>
    <s v="Low"/>
    <n v="3.5"/>
    <n v="8"/>
    <s v="No"/>
    <s v="Efficient"/>
  </r>
  <r>
    <s v="SHP1214"/>
    <d v="2026-04-14T00:00:00"/>
    <d v="2026-04-15T00:00:00"/>
    <d v="2026-04-19T00:00:00"/>
    <s v="Kolkata"/>
    <s v="Patna"/>
    <x v="3"/>
    <n v="1067"/>
    <x v="1"/>
    <n v="6"/>
    <n v="9603"/>
    <n v="7"/>
    <x v="11"/>
    <n v="8"/>
    <n v="3.6"/>
    <x v="2"/>
    <s v="High"/>
    <s v="Good"/>
    <n v="2"/>
    <n v="4"/>
    <x v="2"/>
    <s v="Delayed"/>
    <s v="Wholesale"/>
    <s v="Machinery"/>
    <s v="High"/>
    <n v="3.6"/>
    <n v="9"/>
    <s v="Yes"/>
    <s v="Needs Improvement"/>
  </r>
  <r>
    <s v="SHP1215"/>
    <d v="2026-03-29T00:00:00"/>
    <d v="2026-03-29T00:00:00"/>
    <d v="2026-03-31T00:00:00"/>
    <s v="Nagpur"/>
    <s v="Surat"/>
    <x v="6"/>
    <n v="330"/>
    <x v="0"/>
    <n v="5"/>
    <n v="3630"/>
    <n v="7"/>
    <x v="1"/>
    <n v="5"/>
    <n v="4.3"/>
    <x v="3"/>
    <s v="Low"/>
    <s v="Good"/>
    <n v="1"/>
    <n v="2"/>
    <x v="1"/>
    <s v="Delayed"/>
    <s v="Corporate"/>
    <s v="Machinery"/>
    <s v="Medium"/>
    <n v="4.3"/>
    <n v="11"/>
    <s v="Yes"/>
    <s v="Needs Improvement"/>
  </r>
  <r>
    <s v="SHP1216"/>
    <d v="2026-03-29T00:00:00"/>
    <d v="2026-03-29T00:00:00"/>
    <d v="2026-04-02T00:00:00"/>
    <s v="Delhi"/>
    <s v="Mumbai"/>
    <x v="0"/>
    <n v="1542"/>
    <x v="1"/>
    <n v="5"/>
    <n v="12336"/>
    <n v="8"/>
    <x v="41"/>
    <n v="7"/>
    <n v="4.5"/>
    <x v="1"/>
    <s v="Medium"/>
    <s v="Poor"/>
    <n v="3"/>
    <n v="4"/>
    <x v="1"/>
    <s v="Delayed"/>
    <s v="Wholesale"/>
    <s v="Machinery"/>
    <s v="High"/>
    <n v="4.5999999999999996"/>
    <n v="8"/>
    <s v="Yes"/>
    <s v="Needs Improvement"/>
  </r>
  <r>
    <s v="SHP1217"/>
    <d v="2026-04-27T00:00:00"/>
    <d v="2026-04-29T00:00:00"/>
    <d v="2026-05-02T00:00:00"/>
    <s v="Ahmedabad"/>
    <s v="Jaipur"/>
    <x v="2"/>
    <n v="1238"/>
    <x v="0"/>
    <n v="3"/>
    <n v="14856"/>
    <n v="10"/>
    <x v="10"/>
    <n v="3"/>
    <n v="3.6"/>
    <x v="2"/>
    <s v="Low"/>
    <s v="Poor"/>
    <n v="2"/>
    <n v="3"/>
    <x v="1"/>
    <s v="Delayed"/>
    <s v="Wholesale"/>
    <s v="Clothing"/>
    <s v="High"/>
    <n v="3.2"/>
    <n v="12"/>
    <s v="Yes"/>
    <s v="Needs Improvement"/>
  </r>
  <r>
    <s v="SHP1218"/>
    <d v="2026-02-15T00:00:00"/>
    <d v="2026-02-15T00:00:00"/>
    <d v="2026-02-21T00:00:00"/>
    <s v="Kolkata"/>
    <s v="Patna"/>
    <x v="3"/>
    <n v="1061"/>
    <x v="0"/>
    <n v="6"/>
    <n v="8488"/>
    <n v="9"/>
    <x v="13"/>
    <n v="8"/>
    <n v="4.7"/>
    <x v="2"/>
    <s v="Low"/>
    <s v="Poor"/>
    <n v="2"/>
    <n v="6"/>
    <x v="4"/>
    <s v="Delayed"/>
    <s v="Wholesale"/>
    <s v="Electronics"/>
    <s v="Medium"/>
    <n v="4.8"/>
    <n v="8"/>
    <s v="Yes"/>
    <s v="Needs Improvement"/>
  </r>
  <r>
    <s v="SHP1219"/>
    <d v="2026-03-06T00:00:00"/>
    <d v="2026-03-06T00:00:00"/>
    <d v="2026-03-09T00:00:00"/>
    <s v="Lucknow"/>
    <s v="Delhi"/>
    <x v="7"/>
    <n v="1285"/>
    <x v="0"/>
    <n v="7"/>
    <n v="7710"/>
    <n v="6"/>
    <x v="31"/>
    <n v="4"/>
    <n v="3.7"/>
    <x v="2"/>
    <s v="Low"/>
    <s v="Average"/>
    <n v="2"/>
    <n v="3"/>
    <x v="1"/>
    <s v="Delayed"/>
    <s v="Corporate"/>
    <s v="Food"/>
    <s v="Medium"/>
    <n v="4.3"/>
    <n v="6"/>
    <s v="Yes"/>
    <s v="Needs Improvement"/>
  </r>
  <r>
    <s v="SHP1220"/>
    <d v="2026-01-23T00:00:00"/>
    <d v="2026-01-24T00:00:00"/>
    <d v="2026-01-26T00:00:00"/>
    <s v="Delhi"/>
    <s v="Mumbai"/>
    <x v="0"/>
    <n v="209"/>
    <x v="1"/>
    <n v="5"/>
    <n v="1463"/>
    <n v="6"/>
    <x v="16"/>
    <n v="13"/>
    <n v="3.3"/>
    <x v="0"/>
    <s v="Low"/>
    <s v="Poor"/>
    <n v="1"/>
    <n v="2"/>
    <x v="1"/>
    <s v="Delayed"/>
    <s v="Wholesale"/>
    <s v="Food"/>
    <s v="Medium"/>
    <n v="3.9"/>
    <n v="7"/>
    <s v="Yes"/>
    <s v="Needs Improvement"/>
  </r>
  <r>
    <s v="SHP1221"/>
    <d v="2026-03-03T00:00:00"/>
    <d v="2026-03-04T00:00:00"/>
    <d v="2026-03-05T00:00:00"/>
    <s v="Delhi"/>
    <s v="Mumbai"/>
    <x v="0"/>
    <n v="277"/>
    <x v="2"/>
    <n v="6"/>
    <n v="1662"/>
    <n v="7"/>
    <x v="40"/>
    <n v="14"/>
    <n v="4.0999999999999996"/>
    <x v="0"/>
    <s v="High"/>
    <s v="Good"/>
    <n v="1"/>
    <n v="1"/>
    <x v="0"/>
    <s v="On Time"/>
    <s v="Wholesale"/>
    <s v="Clothing"/>
    <s v="Medium"/>
    <n v="3.3"/>
    <n v="6"/>
    <s v="No"/>
    <s v="Efficient"/>
  </r>
  <r>
    <s v="SHP1222"/>
    <d v="2026-02-19T00:00:00"/>
    <d v="2026-02-21T00:00:00"/>
    <d v="2026-02-23T00:00:00"/>
    <s v="Kolkata"/>
    <s v="Patna"/>
    <x v="3"/>
    <n v="542"/>
    <x v="3"/>
    <n v="1"/>
    <n v="4336"/>
    <n v="7"/>
    <x v="3"/>
    <n v="12"/>
    <n v="4"/>
    <x v="3"/>
    <s v="Medium"/>
    <s v="Poor"/>
    <n v="1"/>
    <n v="2"/>
    <x v="1"/>
    <s v="Delayed"/>
    <s v="Retail"/>
    <s v="Clothing"/>
    <s v="Low"/>
    <n v="3.3"/>
    <n v="8"/>
    <s v="Yes"/>
    <s v="Needs Improvement"/>
  </r>
  <r>
    <s v="SHP1223"/>
    <d v="2026-04-27T00:00:00"/>
    <d v="2026-04-28T00:00:00"/>
    <d v="2026-05-01T00:00:00"/>
    <s v="Delhi"/>
    <s v="Mumbai"/>
    <x v="0"/>
    <n v="667"/>
    <x v="2"/>
    <n v="3"/>
    <n v="4669"/>
    <n v="10"/>
    <x v="27"/>
    <n v="10"/>
    <n v="4"/>
    <x v="0"/>
    <s v="Medium"/>
    <s v="Poor"/>
    <n v="1"/>
    <n v="3"/>
    <x v="2"/>
    <s v="Delayed"/>
    <s v="Corporate"/>
    <s v="Food"/>
    <s v="High"/>
    <n v="3.5"/>
    <n v="7"/>
    <s v="Yes"/>
    <s v="Needs Improvement"/>
  </r>
  <r>
    <s v="SHP1224"/>
    <d v="2026-03-10T00:00:00"/>
    <d v="2026-03-12T00:00:00"/>
    <d v="2026-03-17T00:00:00"/>
    <s v="Delhi"/>
    <s v="Mumbai"/>
    <x v="0"/>
    <n v="1416"/>
    <x v="3"/>
    <n v="2"/>
    <n v="15576"/>
    <n v="5"/>
    <x v="42"/>
    <n v="12"/>
    <n v="3.2"/>
    <x v="2"/>
    <s v="Medium"/>
    <s v="Good"/>
    <n v="3"/>
    <n v="5"/>
    <x v="2"/>
    <s v="Delayed"/>
    <s v="Retail"/>
    <s v="Furniture"/>
    <s v="Low"/>
    <n v="4.4000000000000004"/>
    <n v="11"/>
    <s v="Yes"/>
    <s v="Needs Improvement"/>
  </r>
  <r>
    <s v="SHP1225"/>
    <d v="2026-03-22T00:00:00"/>
    <d v="2026-03-22T00:00:00"/>
    <d v="2026-03-26T00:00:00"/>
    <s v="Kolkata"/>
    <s v="Patna"/>
    <x v="3"/>
    <n v="1061"/>
    <x v="3"/>
    <n v="9"/>
    <n v="8488"/>
    <n v="9"/>
    <x v="48"/>
    <n v="12"/>
    <n v="3.3"/>
    <x v="0"/>
    <s v="High"/>
    <s v="Poor"/>
    <n v="2"/>
    <n v="4"/>
    <x v="2"/>
    <s v="Delayed"/>
    <s v="Corporate"/>
    <s v="Electronics"/>
    <s v="Medium"/>
    <n v="3.4"/>
    <n v="8"/>
    <s v="Yes"/>
    <s v="Needs Improvement"/>
  </r>
  <r>
    <s v="SHP1226"/>
    <d v="2026-01-26T00:00:00"/>
    <d v="2026-01-27T00:00:00"/>
    <d v="2026-01-29T00:00:00"/>
    <s v="Chennai"/>
    <s v="Bangalore"/>
    <x v="1"/>
    <n v="933"/>
    <x v="1"/>
    <n v="5"/>
    <n v="6531"/>
    <n v="5"/>
    <x v="10"/>
    <n v="8"/>
    <n v="4.8"/>
    <x v="2"/>
    <s v="Medium"/>
    <s v="Good"/>
    <n v="2"/>
    <n v="2"/>
    <x v="0"/>
    <s v="On Time"/>
    <s v="Wholesale"/>
    <s v="Electronics"/>
    <s v="Low"/>
    <n v="4.7"/>
    <n v="7"/>
    <s v="No"/>
    <s v="Efficient"/>
  </r>
  <r>
    <s v="SHP1227"/>
    <d v="2026-03-27T00:00:00"/>
    <d v="2026-03-28T00:00:00"/>
    <d v="2026-03-29T00:00:00"/>
    <s v="Indore"/>
    <s v="Hyderabad"/>
    <x v="5"/>
    <n v="384"/>
    <x v="3"/>
    <n v="2"/>
    <n v="3072"/>
    <n v="10"/>
    <x v="45"/>
    <n v="8"/>
    <n v="5"/>
    <x v="3"/>
    <s v="Medium"/>
    <s v="Average"/>
    <n v="1"/>
    <n v="1"/>
    <x v="0"/>
    <s v="On Time"/>
    <s v="Corporate"/>
    <s v="Electronics"/>
    <s v="Medium"/>
    <n v="3.7"/>
    <n v="8"/>
    <s v="No"/>
    <s v="Efficient"/>
  </r>
  <r>
    <s v="SHP1228"/>
    <d v="2026-03-28T00:00:00"/>
    <d v="2026-03-29T00:00:00"/>
    <d v="2026-04-03T00:00:00"/>
    <s v="Lucknow"/>
    <s v="Delhi"/>
    <x v="7"/>
    <n v="1712"/>
    <x v="3"/>
    <n v="2"/>
    <n v="20544"/>
    <n v="5"/>
    <x v="33"/>
    <n v="14"/>
    <n v="3.3"/>
    <x v="1"/>
    <s v="Medium"/>
    <s v="Average"/>
    <n v="3"/>
    <n v="5"/>
    <x v="2"/>
    <s v="Delayed"/>
    <s v="Retail"/>
    <s v="Electronics"/>
    <s v="Medium"/>
    <n v="4.5999999999999996"/>
    <n v="12"/>
    <s v="Yes"/>
    <s v="Needs Improvement"/>
  </r>
  <r>
    <s v="SHP1229"/>
    <d v="2026-01-24T00:00:00"/>
    <d v="2026-01-24T00:00:00"/>
    <d v="2026-01-28T00:00:00"/>
    <s v="Lucknow"/>
    <s v="Delhi"/>
    <x v="7"/>
    <n v="1019"/>
    <x v="1"/>
    <n v="5"/>
    <n v="12228"/>
    <n v="8"/>
    <x v="4"/>
    <n v="14"/>
    <n v="4"/>
    <x v="2"/>
    <s v="High"/>
    <s v="Good"/>
    <n v="2"/>
    <n v="4"/>
    <x v="2"/>
    <s v="Delayed"/>
    <s v="Wholesale"/>
    <s v="Electronics"/>
    <s v="Low"/>
    <n v="3.2"/>
    <n v="12"/>
    <s v="Yes"/>
    <s v="Needs Improvement"/>
  </r>
  <r>
    <s v="SHP1230"/>
    <d v="2026-04-27T00:00:00"/>
    <d v="2026-04-29T00:00:00"/>
    <d v="2026-05-03T00:00:00"/>
    <s v="Nagpur"/>
    <s v="Surat"/>
    <x v="6"/>
    <n v="1365"/>
    <x v="1"/>
    <n v="3"/>
    <n v="13650"/>
    <n v="8"/>
    <x v="36"/>
    <n v="6"/>
    <n v="4.2"/>
    <x v="1"/>
    <s v="Medium"/>
    <s v="Average"/>
    <n v="3"/>
    <n v="4"/>
    <x v="1"/>
    <s v="Delayed"/>
    <s v="Retail"/>
    <s v="Electronics"/>
    <s v="Low"/>
    <n v="3.5"/>
    <n v="10"/>
    <s v="Yes"/>
    <s v="Needs Improvement"/>
  </r>
  <r>
    <s v="SHP1231"/>
    <d v="2026-02-10T00:00:00"/>
    <d v="2026-02-10T00:00:00"/>
    <d v="2026-02-16T00:00:00"/>
    <s v="Chennai"/>
    <s v="Bangalore"/>
    <x v="1"/>
    <n v="1571"/>
    <x v="0"/>
    <n v="9"/>
    <n v="15710"/>
    <n v="10"/>
    <x v="4"/>
    <n v="10"/>
    <n v="3.2"/>
    <x v="1"/>
    <s v="Medium"/>
    <s v="Average"/>
    <n v="3"/>
    <n v="6"/>
    <x v="3"/>
    <s v="Delayed"/>
    <s v="Corporate"/>
    <s v="Machinery"/>
    <s v="High"/>
    <n v="3.1"/>
    <n v="10"/>
    <s v="Yes"/>
    <s v="Needs Improvement"/>
  </r>
  <r>
    <s v="SHP1232"/>
    <d v="2026-03-24T00:00:00"/>
    <d v="2026-03-24T00:00:00"/>
    <d v="2026-03-28T00:00:00"/>
    <s v="Nagpur"/>
    <s v="Surat"/>
    <x v="6"/>
    <n v="1215"/>
    <x v="2"/>
    <n v="2"/>
    <n v="14580"/>
    <n v="8"/>
    <x v="44"/>
    <n v="4"/>
    <n v="3.7"/>
    <x v="3"/>
    <s v="Low"/>
    <s v="Poor"/>
    <n v="2"/>
    <n v="4"/>
    <x v="2"/>
    <s v="Delayed"/>
    <s v="Wholesale"/>
    <s v="Food"/>
    <s v="Medium"/>
    <n v="4.5999999999999996"/>
    <n v="12"/>
    <s v="Yes"/>
    <s v="Needs Improvement"/>
  </r>
  <r>
    <s v="SHP1233"/>
    <d v="2026-01-11T00:00:00"/>
    <d v="2026-01-12T00:00:00"/>
    <d v="2026-01-18T00:00:00"/>
    <s v="Nagpur"/>
    <s v="Surat"/>
    <x v="6"/>
    <n v="1373"/>
    <x v="1"/>
    <n v="2"/>
    <n v="16476"/>
    <n v="8"/>
    <x v="25"/>
    <n v="6"/>
    <n v="3.2"/>
    <x v="2"/>
    <s v="High"/>
    <s v="Poor"/>
    <n v="3"/>
    <n v="6"/>
    <x v="3"/>
    <s v="Delayed"/>
    <s v="Retail"/>
    <s v="Electronics"/>
    <s v="High"/>
    <n v="4.0999999999999996"/>
    <n v="12"/>
    <s v="Yes"/>
    <s v="Needs Improvement"/>
  </r>
  <r>
    <s v="SHP1234"/>
    <d v="2026-04-16T00:00:00"/>
    <d v="2026-04-16T00:00:00"/>
    <d v="2026-04-22T00:00:00"/>
    <s v="Kolkata"/>
    <s v="Patna"/>
    <x v="3"/>
    <n v="1241"/>
    <x v="2"/>
    <n v="8"/>
    <n v="9928"/>
    <n v="7"/>
    <x v="42"/>
    <n v="14"/>
    <n v="3.4"/>
    <x v="2"/>
    <s v="Medium"/>
    <s v="Poor"/>
    <n v="2"/>
    <n v="6"/>
    <x v="4"/>
    <s v="Delayed"/>
    <s v="Retail"/>
    <s v="Clothing"/>
    <s v="High"/>
    <n v="3.9"/>
    <n v="8"/>
    <s v="Yes"/>
    <s v="Needs Improvement"/>
  </r>
  <r>
    <s v="SHP1235"/>
    <d v="2026-01-13T00:00:00"/>
    <d v="2026-01-15T00:00:00"/>
    <d v="2026-01-17T00:00:00"/>
    <s v="Chennai"/>
    <s v="Bangalore"/>
    <x v="1"/>
    <n v="204"/>
    <x v="0"/>
    <n v="6"/>
    <n v="2448"/>
    <n v="10"/>
    <x v="13"/>
    <n v="9"/>
    <n v="4"/>
    <x v="0"/>
    <s v="Low"/>
    <s v="Good"/>
    <n v="1"/>
    <n v="2"/>
    <x v="1"/>
    <s v="Delayed"/>
    <s v="Corporate"/>
    <s v="Food"/>
    <s v="Low"/>
    <n v="3.5"/>
    <n v="12"/>
    <s v="Yes"/>
    <s v="Needs Improvement"/>
  </r>
  <r>
    <s v="SHP1236"/>
    <d v="2026-01-26T00:00:00"/>
    <d v="2026-01-26T00:00:00"/>
    <d v="2026-02-01T00:00:00"/>
    <s v="Bhopal"/>
    <s v="Pune"/>
    <x v="4"/>
    <n v="1004"/>
    <x v="2"/>
    <n v="8"/>
    <n v="12048"/>
    <n v="6"/>
    <x v="47"/>
    <n v="6"/>
    <n v="3.2"/>
    <x v="2"/>
    <s v="Low"/>
    <s v="Poor"/>
    <n v="2"/>
    <n v="6"/>
    <x v="4"/>
    <s v="Delayed"/>
    <s v="Corporate"/>
    <s v="Food"/>
    <s v="Medium"/>
    <n v="4.3"/>
    <n v="12"/>
    <s v="Yes"/>
    <s v="Needs Improvement"/>
  </r>
  <r>
    <s v="SHP1237"/>
    <d v="2026-03-06T00:00:00"/>
    <d v="2026-03-06T00:00:00"/>
    <d v="2026-03-13T00:00:00"/>
    <s v="Nagpur"/>
    <s v="Surat"/>
    <x v="6"/>
    <n v="208"/>
    <x v="3"/>
    <n v="9"/>
    <n v="1872"/>
    <n v="9"/>
    <x v="20"/>
    <n v="15"/>
    <n v="4"/>
    <x v="1"/>
    <s v="High"/>
    <s v="Poor"/>
    <n v="1"/>
    <n v="7"/>
    <x v="6"/>
    <s v="Delayed"/>
    <s v="Corporate"/>
    <s v="Electronics"/>
    <s v="Medium"/>
    <n v="4.3"/>
    <n v="9"/>
    <s v="Yes"/>
    <s v="Needs Improvement"/>
  </r>
  <r>
    <s v="SHP1238"/>
    <d v="2026-03-19T00:00:00"/>
    <d v="2026-03-20T00:00:00"/>
    <d v="2026-03-26T00:00:00"/>
    <s v="Lucknow"/>
    <s v="Delhi"/>
    <x v="7"/>
    <n v="1057"/>
    <x v="2"/>
    <n v="5"/>
    <n v="9513"/>
    <n v="7"/>
    <x v="13"/>
    <n v="8"/>
    <n v="4.5999999999999996"/>
    <x v="1"/>
    <s v="Medium"/>
    <s v="Poor"/>
    <n v="2"/>
    <n v="6"/>
    <x v="4"/>
    <s v="Delayed"/>
    <s v="Retail"/>
    <s v="Machinery"/>
    <s v="Medium"/>
    <n v="4.4000000000000004"/>
    <n v="9"/>
    <s v="Yes"/>
    <s v="Needs Improvement"/>
  </r>
  <r>
    <s v="SHP1239"/>
    <d v="2026-04-30T00:00:00"/>
    <d v="2026-05-02T00:00:00"/>
    <d v="2026-05-07T00:00:00"/>
    <s v="Chennai"/>
    <s v="Bangalore"/>
    <x v="1"/>
    <n v="611"/>
    <x v="2"/>
    <n v="10"/>
    <n v="6721"/>
    <n v="7"/>
    <x v="23"/>
    <n v="6"/>
    <n v="4.8"/>
    <x v="1"/>
    <s v="High"/>
    <s v="Poor"/>
    <n v="1"/>
    <n v="5"/>
    <x v="4"/>
    <s v="Delayed"/>
    <s v="Wholesale"/>
    <s v="Clothing"/>
    <s v="High"/>
    <n v="3.2"/>
    <n v="11"/>
    <s v="Yes"/>
    <s v="Needs Improvement"/>
  </r>
  <r>
    <s v="SHP1240"/>
    <d v="2026-02-15T00:00:00"/>
    <d v="2026-02-17T00:00:00"/>
    <d v="2026-02-20T00:00:00"/>
    <s v="Nagpur"/>
    <s v="Surat"/>
    <x v="6"/>
    <n v="1393"/>
    <x v="1"/>
    <n v="9"/>
    <n v="11144"/>
    <n v="8"/>
    <x v="33"/>
    <n v="9"/>
    <n v="3.2"/>
    <x v="2"/>
    <s v="Low"/>
    <s v="Good"/>
    <n v="3"/>
    <n v="3"/>
    <x v="0"/>
    <s v="On Time"/>
    <s v="Corporate"/>
    <s v="Clothing"/>
    <s v="Low"/>
    <n v="5"/>
    <n v="8"/>
    <s v="No"/>
    <s v="Efficient"/>
  </r>
  <r>
    <s v="SHP1241"/>
    <d v="2026-03-29T00:00:00"/>
    <d v="2026-03-30T00:00:00"/>
    <d v="2026-04-03T00:00:00"/>
    <s v="Indore"/>
    <s v="Hyderabad"/>
    <x v="5"/>
    <n v="327"/>
    <x v="0"/>
    <n v="4"/>
    <n v="3924"/>
    <n v="9"/>
    <x v="37"/>
    <n v="6"/>
    <n v="4.5999999999999996"/>
    <x v="0"/>
    <s v="High"/>
    <s v="Poor"/>
    <n v="1"/>
    <n v="4"/>
    <x v="3"/>
    <s v="Delayed"/>
    <s v="Corporate"/>
    <s v="Machinery"/>
    <s v="High"/>
    <n v="3.6"/>
    <n v="12"/>
    <s v="Yes"/>
    <s v="Needs Improvement"/>
  </r>
  <r>
    <s v="SHP1242"/>
    <d v="2026-03-27T00:00:00"/>
    <d v="2026-03-27T00:00:00"/>
    <d v="2026-03-31T00:00:00"/>
    <s v="Lucknow"/>
    <s v="Delhi"/>
    <x v="7"/>
    <n v="993"/>
    <x v="1"/>
    <n v="6"/>
    <n v="9930"/>
    <n v="5"/>
    <x v="33"/>
    <n v="12"/>
    <n v="3.5"/>
    <x v="2"/>
    <s v="Low"/>
    <s v="Poor"/>
    <n v="2"/>
    <n v="4"/>
    <x v="2"/>
    <s v="Delayed"/>
    <s v="Wholesale"/>
    <s v="Machinery"/>
    <s v="High"/>
    <n v="4.2"/>
    <n v="10"/>
    <s v="Yes"/>
    <s v="Needs Improvement"/>
  </r>
  <r>
    <s v="SHP1243"/>
    <d v="2026-04-10T00:00:00"/>
    <d v="2026-04-12T00:00:00"/>
    <d v="2026-04-14T00:00:00"/>
    <s v="Chennai"/>
    <s v="Bangalore"/>
    <x v="1"/>
    <n v="802"/>
    <x v="1"/>
    <n v="3"/>
    <n v="8822"/>
    <n v="5"/>
    <x v="49"/>
    <n v="3"/>
    <n v="4.5"/>
    <x v="0"/>
    <s v="Medium"/>
    <s v="Good"/>
    <n v="1"/>
    <n v="2"/>
    <x v="1"/>
    <s v="Delayed"/>
    <s v="Retail"/>
    <s v="Machinery"/>
    <s v="Medium"/>
    <n v="3.3"/>
    <n v="11"/>
    <s v="Yes"/>
    <s v="Needs Improvement"/>
  </r>
  <r>
    <s v="SHP1244"/>
    <d v="2026-03-16T00:00:00"/>
    <d v="2026-03-17T00:00:00"/>
    <d v="2026-03-20T00:00:00"/>
    <s v="Delhi"/>
    <s v="Mumbai"/>
    <x v="0"/>
    <n v="876"/>
    <x v="1"/>
    <n v="3"/>
    <n v="5256"/>
    <n v="6"/>
    <x v="44"/>
    <n v="10"/>
    <n v="3.1"/>
    <x v="3"/>
    <s v="Medium"/>
    <s v="Poor"/>
    <n v="1"/>
    <n v="3"/>
    <x v="2"/>
    <s v="Delayed"/>
    <s v="Corporate"/>
    <s v="Clothing"/>
    <s v="High"/>
    <n v="3.4"/>
    <n v="6"/>
    <s v="Yes"/>
    <s v="Needs Improvement"/>
  </r>
  <r>
    <s v="SHP1245"/>
    <d v="2026-01-24T00:00:00"/>
    <d v="2026-01-26T00:00:00"/>
    <d v="2026-01-30T00:00:00"/>
    <s v="Bhopal"/>
    <s v="Pune"/>
    <x v="4"/>
    <n v="1234"/>
    <x v="2"/>
    <n v="7"/>
    <n v="12340"/>
    <n v="9"/>
    <x v="41"/>
    <n v="2"/>
    <n v="3.7"/>
    <x v="1"/>
    <s v="High"/>
    <s v="Average"/>
    <n v="2"/>
    <n v="4"/>
    <x v="2"/>
    <s v="Delayed"/>
    <s v="Corporate"/>
    <s v="Machinery"/>
    <s v="High"/>
    <n v="3.9"/>
    <n v="10"/>
    <s v="Yes"/>
    <s v="Needs Improvement"/>
  </r>
  <r>
    <s v="SHP1246"/>
    <d v="2026-03-13T00:00:00"/>
    <d v="2026-03-15T00:00:00"/>
    <d v="2026-03-16T00:00:00"/>
    <s v="Delhi"/>
    <s v="Mumbai"/>
    <x v="0"/>
    <n v="434"/>
    <x v="0"/>
    <n v="8"/>
    <n v="3038"/>
    <n v="10"/>
    <x v="28"/>
    <n v="15"/>
    <n v="4.2"/>
    <x v="0"/>
    <s v="High"/>
    <s v="Average"/>
    <n v="1"/>
    <n v="1"/>
    <x v="0"/>
    <s v="On Time"/>
    <s v="Retail"/>
    <s v="Clothing"/>
    <s v="High"/>
    <n v="4.4000000000000004"/>
    <n v="7"/>
    <s v="No"/>
    <s v="Efficient"/>
  </r>
  <r>
    <s v="SHP1247"/>
    <d v="2026-01-04T00:00:00"/>
    <d v="2026-01-06T00:00:00"/>
    <d v="2026-01-10T00:00:00"/>
    <s v="Ahmedabad"/>
    <s v="Jaipur"/>
    <x v="2"/>
    <n v="1253"/>
    <x v="1"/>
    <n v="8"/>
    <n v="7518"/>
    <n v="7"/>
    <x v="12"/>
    <n v="4"/>
    <n v="3.6"/>
    <x v="0"/>
    <s v="Low"/>
    <s v="Good"/>
    <n v="2"/>
    <n v="4"/>
    <x v="2"/>
    <s v="Delayed"/>
    <s v="Wholesale"/>
    <s v="Electronics"/>
    <s v="High"/>
    <n v="3.1"/>
    <n v="6"/>
    <s v="Yes"/>
    <s v="Needs Improvement"/>
  </r>
  <r>
    <s v="SHP1248"/>
    <d v="2026-03-27T00:00:00"/>
    <d v="2026-03-29T00:00:00"/>
    <d v="2026-04-02T00:00:00"/>
    <s v="Chennai"/>
    <s v="Bangalore"/>
    <x v="1"/>
    <n v="1603"/>
    <x v="1"/>
    <n v="2"/>
    <n v="11221"/>
    <n v="9"/>
    <x v="4"/>
    <n v="15"/>
    <n v="5"/>
    <x v="2"/>
    <s v="High"/>
    <s v="Good"/>
    <n v="3"/>
    <n v="4"/>
    <x v="1"/>
    <s v="Delayed"/>
    <s v="Wholesale"/>
    <s v="Clothing"/>
    <s v="Low"/>
    <n v="3.2"/>
    <n v="7"/>
    <s v="Yes"/>
    <s v="Needs Improvement"/>
  </r>
  <r>
    <s v="SHP1249"/>
    <d v="2026-01-07T00:00:00"/>
    <d v="2026-01-07T00:00:00"/>
    <d v="2026-01-10T00:00:00"/>
    <s v="Kolkata"/>
    <s v="Patna"/>
    <x v="3"/>
    <n v="1342"/>
    <x v="3"/>
    <n v="10"/>
    <n v="16104"/>
    <n v="6"/>
    <x v="46"/>
    <n v="7"/>
    <n v="3.8"/>
    <x v="2"/>
    <s v="Medium"/>
    <s v="Average"/>
    <n v="2"/>
    <n v="3"/>
    <x v="1"/>
    <s v="Delayed"/>
    <s v="Wholesale"/>
    <s v="Electronics"/>
    <s v="High"/>
    <n v="3"/>
    <n v="12"/>
    <s v="Yes"/>
    <s v="Needs Improvement"/>
  </r>
  <r>
    <s v="SHP1250"/>
    <d v="2026-04-03T00:00:00"/>
    <d v="2026-04-05T00:00:00"/>
    <d v="2026-04-11T00:00:00"/>
    <s v="Bhopal"/>
    <s v="Pune"/>
    <x v="4"/>
    <n v="1748"/>
    <x v="3"/>
    <n v="2"/>
    <n v="13984"/>
    <n v="9"/>
    <x v="17"/>
    <n v="5"/>
    <n v="4.5999999999999996"/>
    <x v="3"/>
    <s v="High"/>
    <s v="Good"/>
    <n v="3"/>
    <n v="6"/>
    <x v="3"/>
    <s v="Delayed"/>
    <s v="Retail"/>
    <s v="Electronics"/>
    <s v="Medium"/>
    <n v="3.3"/>
    <n v="8"/>
    <s v="Yes"/>
    <s v="Needs Improvement"/>
  </r>
  <r>
    <s v="SHP1251"/>
    <d v="2026-01-29T00:00:00"/>
    <d v="2026-01-29T00:00:00"/>
    <d v="2026-01-31T00:00:00"/>
    <s v="Lucknow"/>
    <s v="Delhi"/>
    <x v="7"/>
    <n v="1317"/>
    <x v="0"/>
    <n v="3"/>
    <n v="10536"/>
    <n v="10"/>
    <x v="7"/>
    <n v="11"/>
    <n v="3.7"/>
    <x v="0"/>
    <s v="High"/>
    <s v="Poor"/>
    <n v="2"/>
    <n v="2"/>
    <x v="0"/>
    <s v="On Time"/>
    <s v="Corporate"/>
    <s v="Electronics"/>
    <s v="High"/>
    <n v="4.2"/>
    <n v="8"/>
    <s v="No"/>
    <s v="Efficient"/>
  </r>
  <r>
    <s v="SHP1252"/>
    <d v="2026-03-10T00:00:00"/>
    <d v="2026-03-12T00:00:00"/>
    <d v="2026-03-15T00:00:00"/>
    <s v="Bhopal"/>
    <s v="Pune"/>
    <x v="4"/>
    <n v="824"/>
    <x v="2"/>
    <n v="6"/>
    <n v="5768"/>
    <n v="8"/>
    <x v="12"/>
    <n v="14"/>
    <n v="4"/>
    <x v="1"/>
    <s v="Low"/>
    <s v="Good"/>
    <n v="1"/>
    <n v="3"/>
    <x v="2"/>
    <s v="Delayed"/>
    <s v="Corporate"/>
    <s v="Electronics"/>
    <s v="Low"/>
    <n v="4.3"/>
    <n v="7"/>
    <s v="Yes"/>
    <s v="Needs Improvement"/>
  </r>
  <r>
    <s v="SHP1253"/>
    <d v="2026-03-14T00:00:00"/>
    <d v="2026-03-14T00:00:00"/>
    <d v="2026-03-17T00:00:00"/>
    <s v="Nagpur"/>
    <s v="Surat"/>
    <x v="6"/>
    <n v="1520"/>
    <x v="3"/>
    <n v="5"/>
    <n v="16720"/>
    <n v="5"/>
    <x v="46"/>
    <n v="2"/>
    <n v="3.4"/>
    <x v="2"/>
    <s v="Medium"/>
    <s v="Average"/>
    <n v="3"/>
    <n v="3"/>
    <x v="0"/>
    <s v="On Time"/>
    <s v="Corporate"/>
    <s v="Clothing"/>
    <s v="High"/>
    <n v="3.1"/>
    <n v="11"/>
    <s v="No"/>
    <s v="Efficient"/>
  </r>
  <r>
    <s v="SHP1254"/>
    <d v="2026-01-25T00:00:00"/>
    <d v="2026-01-26T00:00:00"/>
    <d v="2026-01-28T00:00:00"/>
    <s v="Nagpur"/>
    <s v="Surat"/>
    <x v="6"/>
    <n v="1122"/>
    <x v="0"/>
    <n v="10"/>
    <n v="12342"/>
    <n v="7"/>
    <x v="4"/>
    <n v="10"/>
    <n v="3.3"/>
    <x v="3"/>
    <s v="Medium"/>
    <s v="Average"/>
    <n v="2"/>
    <n v="2"/>
    <x v="0"/>
    <s v="On Time"/>
    <s v="Retail"/>
    <s v="Furniture"/>
    <s v="Low"/>
    <n v="4.4000000000000004"/>
    <n v="11"/>
    <s v="No"/>
    <s v="Efficient"/>
  </r>
  <r>
    <s v="SHP1255"/>
    <d v="2026-03-24T00:00:00"/>
    <d v="2026-03-25T00:00:00"/>
    <d v="2026-03-31T00:00:00"/>
    <s v="Kolkata"/>
    <s v="Patna"/>
    <x v="3"/>
    <n v="936"/>
    <x v="2"/>
    <n v="6"/>
    <n v="8424"/>
    <n v="8"/>
    <x v="25"/>
    <n v="6"/>
    <n v="4.5"/>
    <x v="2"/>
    <s v="High"/>
    <s v="Good"/>
    <n v="2"/>
    <n v="6"/>
    <x v="4"/>
    <s v="Delayed"/>
    <s v="Corporate"/>
    <s v="Clothing"/>
    <s v="Low"/>
    <n v="4.8"/>
    <n v="9"/>
    <s v="Yes"/>
    <s v="Needs Improvement"/>
  </r>
  <r>
    <s v="SHP1256"/>
    <d v="2026-01-26T00:00:00"/>
    <d v="2026-01-27T00:00:00"/>
    <d v="2026-02-01T00:00:00"/>
    <s v="Bhopal"/>
    <s v="Pune"/>
    <x v="4"/>
    <n v="1689"/>
    <x v="3"/>
    <n v="1"/>
    <n v="20268"/>
    <n v="9"/>
    <x v="43"/>
    <n v="1"/>
    <n v="4.5999999999999996"/>
    <x v="2"/>
    <s v="High"/>
    <s v="Good"/>
    <n v="3"/>
    <n v="5"/>
    <x v="2"/>
    <s v="Delayed"/>
    <s v="Wholesale"/>
    <s v="Machinery"/>
    <s v="Medium"/>
    <n v="4.3"/>
    <n v="12"/>
    <s v="Yes"/>
    <s v="Needs Improvement"/>
  </r>
  <r>
    <s v="SHP1257"/>
    <d v="2026-01-20T00:00:00"/>
    <d v="2026-01-21T00:00:00"/>
    <d v="2026-01-24T00:00:00"/>
    <s v="Lucknow"/>
    <s v="Delhi"/>
    <x v="7"/>
    <n v="657"/>
    <x v="0"/>
    <n v="3"/>
    <n v="5913"/>
    <n v="9"/>
    <x v="39"/>
    <n v="2"/>
    <n v="3.8"/>
    <x v="0"/>
    <s v="High"/>
    <s v="Good"/>
    <n v="1"/>
    <n v="3"/>
    <x v="2"/>
    <s v="Delayed"/>
    <s v="Corporate"/>
    <s v="Food"/>
    <s v="Low"/>
    <n v="3.4"/>
    <n v="9"/>
    <s v="Yes"/>
    <s v="Needs Improvement"/>
  </r>
  <r>
    <s v="SHP1258"/>
    <d v="2026-03-14T00:00:00"/>
    <d v="2026-03-16T00:00:00"/>
    <d v="2026-03-19T00:00:00"/>
    <s v="Indore"/>
    <s v="Hyderabad"/>
    <x v="5"/>
    <n v="1707"/>
    <x v="1"/>
    <n v="6"/>
    <n v="10242"/>
    <n v="6"/>
    <x v="40"/>
    <n v="8"/>
    <n v="3.5"/>
    <x v="3"/>
    <s v="Medium"/>
    <s v="Good"/>
    <n v="3"/>
    <n v="3"/>
    <x v="0"/>
    <s v="On Time"/>
    <s v="Wholesale"/>
    <s v="Clothing"/>
    <s v="Medium"/>
    <n v="3.9"/>
    <n v="6"/>
    <s v="No"/>
    <s v="Efficient"/>
  </r>
  <r>
    <s v="SHP1259"/>
    <d v="2026-02-28T00:00:00"/>
    <d v="2026-02-28T00:00:00"/>
    <d v="2026-03-06T00:00:00"/>
    <s v="Delhi"/>
    <s v="Mumbai"/>
    <x v="0"/>
    <n v="1528"/>
    <x v="0"/>
    <n v="2"/>
    <n v="16808"/>
    <n v="9"/>
    <x v="43"/>
    <n v="14"/>
    <n v="3.5"/>
    <x v="3"/>
    <s v="High"/>
    <s v="Poor"/>
    <n v="3"/>
    <n v="6"/>
    <x v="3"/>
    <s v="Delayed"/>
    <s v="Retail"/>
    <s v="Machinery"/>
    <s v="High"/>
    <n v="4.8"/>
    <n v="11"/>
    <s v="Yes"/>
    <s v="Needs Improvement"/>
  </r>
  <r>
    <s v="SHP1260"/>
    <d v="2026-01-10T00:00:00"/>
    <d v="2026-01-12T00:00:00"/>
    <d v="2026-01-15T00:00:00"/>
    <s v="Kolkata"/>
    <s v="Patna"/>
    <x v="3"/>
    <n v="970"/>
    <x v="2"/>
    <n v="9"/>
    <n v="8730"/>
    <n v="7"/>
    <x v="38"/>
    <n v="8"/>
    <n v="4.5999999999999996"/>
    <x v="0"/>
    <s v="High"/>
    <s v="Good"/>
    <n v="2"/>
    <n v="3"/>
    <x v="1"/>
    <s v="Delayed"/>
    <s v="Corporate"/>
    <s v="Electronics"/>
    <s v="High"/>
    <n v="4.3"/>
    <n v="9"/>
    <s v="Yes"/>
    <s v="Needs Improvement"/>
  </r>
  <r>
    <s v="SHP1261"/>
    <d v="2026-01-28T00:00:00"/>
    <d v="2026-01-28T00:00:00"/>
    <d v="2026-02-01T00:00:00"/>
    <s v="Indore"/>
    <s v="Hyderabad"/>
    <x v="5"/>
    <n v="522"/>
    <x v="0"/>
    <n v="10"/>
    <n v="5742"/>
    <n v="5"/>
    <x v="15"/>
    <n v="4"/>
    <n v="3.8"/>
    <x v="3"/>
    <s v="High"/>
    <s v="Good"/>
    <n v="1"/>
    <n v="4"/>
    <x v="3"/>
    <s v="Delayed"/>
    <s v="Retail"/>
    <s v="Furniture"/>
    <s v="High"/>
    <n v="3.3"/>
    <n v="11"/>
    <s v="Yes"/>
    <s v="Needs Improvement"/>
  </r>
  <r>
    <s v="SHP1262"/>
    <d v="2026-04-17T00:00:00"/>
    <d v="2026-04-18T00:00:00"/>
    <d v="2026-04-19T00:00:00"/>
    <s v="Delhi"/>
    <s v="Mumbai"/>
    <x v="0"/>
    <n v="699"/>
    <x v="3"/>
    <n v="3"/>
    <n v="6990"/>
    <n v="9"/>
    <x v="14"/>
    <n v="3"/>
    <n v="4.3"/>
    <x v="0"/>
    <s v="High"/>
    <s v="Good"/>
    <n v="1"/>
    <n v="1"/>
    <x v="0"/>
    <s v="On Time"/>
    <s v="Retail"/>
    <s v="Furniture"/>
    <s v="High"/>
    <n v="4.9000000000000004"/>
    <n v="10"/>
    <s v="No"/>
    <s v="Efficient"/>
  </r>
  <r>
    <s v="SHP1263"/>
    <d v="2026-03-18T00:00:00"/>
    <d v="2026-03-20T00:00:00"/>
    <d v="2026-03-24T00:00:00"/>
    <s v="Delhi"/>
    <s v="Mumbai"/>
    <x v="0"/>
    <n v="1673"/>
    <x v="0"/>
    <n v="2"/>
    <n v="11711"/>
    <n v="8"/>
    <x v="48"/>
    <n v="8"/>
    <n v="4.7"/>
    <x v="1"/>
    <s v="Low"/>
    <s v="Average"/>
    <n v="3"/>
    <n v="4"/>
    <x v="1"/>
    <s v="Delayed"/>
    <s v="Wholesale"/>
    <s v="Furniture"/>
    <s v="High"/>
    <n v="4.3"/>
    <n v="7"/>
    <s v="Yes"/>
    <s v="Needs Improvement"/>
  </r>
  <r>
    <s v="SHP1264"/>
    <d v="2026-02-03T00:00:00"/>
    <d v="2026-02-03T00:00:00"/>
    <d v="2026-02-05T00:00:00"/>
    <s v="Ahmedabad"/>
    <s v="Jaipur"/>
    <x v="2"/>
    <n v="1128"/>
    <x v="3"/>
    <n v="4"/>
    <n v="10152"/>
    <n v="8"/>
    <x v="31"/>
    <n v="2"/>
    <n v="3"/>
    <x v="2"/>
    <s v="Low"/>
    <s v="Poor"/>
    <n v="2"/>
    <n v="2"/>
    <x v="0"/>
    <s v="On Time"/>
    <s v="Retail"/>
    <s v="Machinery"/>
    <s v="High"/>
    <n v="3.1"/>
    <n v="9"/>
    <s v="No"/>
    <s v="Efficient"/>
  </r>
  <r>
    <s v="SHP1265"/>
    <d v="2026-04-11T00:00:00"/>
    <d v="2026-04-13T00:00:00"/>
    <d v="2026-04-17T00:00:00"/>
    <s v="Bhopal"/>
    <s v="Pune"/>
    <x v="4"/>
    <n v="390"/>
    <x v="1"/>
    <n v="3"/>
    <n v="3900"/>
    <n v="9"/>
    <x v="33"/>
    <n v="15"/>
    <n v="4.9000000000000004"/>
    <x v="2"/>
    <s v="High"/>
    <s v="Average"/>
    <n v="1"/>
    <n v="4"/>
    <x v="3"/>
    <s v="Delayed"/>
    <s v="Corporate"/>
    <s v="Food"/>
    <s v="Medium"/>
    <n v="3.7"/>
    <n v="10"/>
    <s v="Yes"/>
    <s v="Needs Improvement"/>
  </r>
  <r>
    <s v="SHP1266"/>
    <d v="2026-04-13T00:00:00"/>
    <d v="2026-04-15T00:00:00"/>
    <d v="2026-04-17T00:00:00"/>
    <s v="Bhopal"/>
    <s v="Pune"/>
    <x v="4"/>
    <n v="1071"/>
    <x v="2"/>
    <n v="5"/>
    <n v="9639"/>
    <n v="6"/>
    <x v="18"/>
    <n v="5"/>
    <n v="4.2"/>
    <x v="2"/>
    <s v="Medium"/>
    <s v="Good"/>
    <n v="2"/>
    <n v="2"/>
    <x v="0"/>
    <s v="On Time"/>
    <s v="Wholesale"/>
    <s v="Machinery"/>
    <s v="Low"/>
    <n v="4"/>
    <n v="9"/>
    <s v="No"/>
    <s v="Efficient"/>
  </r>
  <r>
    <s v="SHP1267"/>
    <d v="2026-02-18T00:00:00"/>
    <d v="2026-02-20T00:00:00"/>
    <d v="2026-02-25T00:00:00"/>
    <s v="Chennai"/>
    <s v="Bangalore"/>
    <x v="1"/>
    <n v="1608"/>
    <x v="0"/>
    <n v="7"/>
    <n v="12864"/>
    <n v="5"/>
    <x v="5"/>
    <n v="7"/>
    <n v="4.3"/>
    <x v="3"/>
    <s v="Medium"/>
    <s v="Poor"/>
    <n v="3"/>
    <n v="5"/>
    <x v="2"/>
    <s v="Delayed"/>
    <s v="Wholesale"/>
    <s v="Clothing"/>
    <s v="High"/>
    <n v="3.8"/>
    <n v="8"/>
    <s v="Yes"/>
    <s v="Needs Improvement"/>
  </r>
  <r>
    <s v="SHP1268"/>
    <d v="2026-01-27T00:00:00"/>
    <d v="2026-01-28T00:00:00"/>
    <d v="2026-01-30T00:00:00"/>
    <s v="Nagpur"/>
    <s v="Surat"/>
    <x v="6"/>
    <n v="566"/>
    <x v="0"/>
    <n v="9"/>
    <n v="5660"/>
    <n v="8"/>
    <x v="46"/>
    <n v="5"/>
    <n v="4.2"/>
    <x v="2"/>
    <s v="High"/>
    <s v="Good"/>
    <n v="1"/>
    <n v="2"/>
    <x v="1"/>
    <s v="Delayed"/>
    <s v="Retail"/>
    <s v="Furniture"/>
    <s v="Low"/>
    <n v="3.4"/>
    <n v="10"/>
    <s v="Yes"/>
    <s v="Needs Improvement"/>
  </r>
  <r>
    <s v="SHP1269"/>
    <d v="2026-02-21T00:00:00"/>
    <d v="2026-02-22T00:00:00"/>
    <d v="2026-02-23T00:00:00"/>
    <s v="Delhi"/>
    <s v="Mumbai"/>
    <x v="0"/>
    <n v="529"/>
    <x v="1"/>
    <n v="1"/>
    <n v="6348"/>
    <n v="5"/>
    <x v="5"/>
    <n v="8"/>
    <n v="4.9000000000000004"/>
    <x v="2"/>
    <s v="Low"/>
    <s v="Good"/>
    <n v="1"/>
    <n v="1"/>
    <x v="0"/>
    <s v="On Time"/>
    <s v="Retail"/>
    <s v="Electronics"/>
    <s v="High"/>
    <n v="3.1"/>
    <n v="12"/>
    <s v="No"/>
    <s v="Efficient"/>
  </r>
  <r>
    <s v="SHP1270"/>
    <d v="2026-02-19T00:00:00"/>
    <d v="2026-02-20T00:00:00"/>
    <d v="2026-02-24T00:00:00"/>
    <s v="Kolkata"/>
    <s v="Patna"/>
    <x v="3"/>
    <n v="1657"/>
    <x v="3"/>
    <n v="3"/>
    <n v="18227"/>
    <n v="8"/>
    <x v="25"/>
    <n v="1"/>
    <n v="3.4"/>
    <x v="3"/>
    <s v="Low"/>
    <s v="Good"/>
    <n v="3"/>
    <n v="4"/>
    <x v="1"/>
    <s v="Delayed"/>
    <s v="Wholesale"/>
    <s v="Furniture"/>
    <s v="High"/>
    <n v="3.1"/>
    <n v="11"/>
    <s v="Yes"/>
    <s v="Needs Improvement"/>
  </r>
  <r>
    <s v="SHP1271"/>
    <d v="2026-01-31T00:00:00"/>
    <d v="2026-02-02T00:00:00"/>
    <d v="2026-02-05T00:00:00"/>
    <s v="Delhi"/>
    <s v="Mumbai"/>
    <x v="0"/>
    <n v="522"/>
    <x v="3"/>
    <n v="5"/>
    <n v="6264"/>
    <n v="8"/>
    <x v="38"/>
    <n v="11"/>
    <n v="3.8"/>
    <x v="1"/>
    <s v="High"/>
    <s v="Good"/>
    <n v="1"/>
    <n v="3"/>
    <x v="2"/>
    <s v="Delayed"/>
    <s v="Retail"/>
    <s v="Machinery"/>
    <s v="High"/>
    <n v="3.7"/>
    <n v="12"/>
    <s v="Yes"/>
    <s v="Needs Improvement"/>
  </r>
  <r>
    <s v="SHP1272"/>
    <d v="2026-04-15T00:00:00"/>
    <d v="2026-04-16T00:00:00"/>
    <d v="2026-04-21T00:00:00"/>
    <s v="Chennai"/>
    <s v="Bangalore"/>
    <x v="1"/>
    <n v="1441"/>
    <x v="2"/>
    <n v="8"/>
    <n v="12969"/>
    <n v="9"/>
    <x v="33"/>
    <n v="5"/>
    <n v="3.4"/>
    <x v="0"/>
    <s v="High"/>
    <s v="Good"/>
    <n v="3"/>
    <n v="5"/>
    <x v="2"/>
    <s v="Delayed"/>
    <s v="Corporate"/>
    <s v="Machinery"/>
    <s v="Medium"/>
    <n v="4.8"/>
    <n v="9"/>
    <s v="Yes"/>
    <s v="Needs Improvement"/>
  </r>
  <r>
    <s v="SHP1273"/>
    <d v="2026-04-15T00:00:00"/>
    <d v="2026-04-17T00:00:00"/>
    <d v="2026-04-20T00:00:00"/>
    <s v="Kolkata"/>
    <s v="Patna"/>
    <x v="3"/>
    <n v="1621"/>
    <x v="1"/>
    <n v="7"/>
    <n v="16210"/>
    <n v="8"/>
    <x v="36"/>
    <n v="4"/>
    <n v="4.5"/>
    <x v="2"/>
    <s v="High"/>
    <s v="Average"/>
    <n v="3"/>
    <n v="3"/>
    <x v="0"/>
    <s v="On Time"/>
    <s v="Retail"/>
    <s v="Electronics"/>
    <s v="Medium"/>
    <n v="4.3"/>
    <n v="10"/>
    <s v="No"/>
    <s v="Efficient"/>
  </r>
  <r>
    <s v="SHP1274"/>
    <d v="2026-01-29T00:00:00"/>
    <d v="2026-01-31T00:00:00"/>
    <d v="2026-02-03T00:00:00"/>
    <s v="Chennai"/>
    <s v="Bangalore"/>
    <x v="1"/>
    <n v="846"/>
    <x v="1"/>
    <n v="6"/>
    <n v="8460"/>
    <n v="9"/>
    <x v="33"/>
    <n v="12"/>
    <n v="4.7"/>
    <x v="1"/>
    <s v="Medium"/>
    <s v="Good"/>
    <n v="1"/>
    <n v="3"/>
    <x v="2"/>
    <s v="Delayed"/>
    <s v="Wholesale"/>
    <s v="Clothing"/>
    <s v="Low"/>
    <n v="4.0999999999999996"/>
    <n v="10"/>
    <s v="Yes"/>
    <s v="Needs Improvement"/>
  </r>
  <r>
    <s v="SHP1275"/>
    <d v="2026-01-23T00:00:00"/>
    <d v="2026-01-24T00:00:00"/>
    <d v="2026-01-27T00:00:00"/>
    <s v="Ahmedabad"/>
    <s v="Jaipur"/>
    <x v="2"/>
    <n v="924"/>
    <x v="2"/>
    <n v="10"/>
    <n v="7392"/>
    <n v="6"/>
    <x v="0"/>
    <n v="11"/>
    <n v="4.9000000000000004"/>
    <x v="1"/>
    <s v="Medium"/>
    <s v="Poor"/>
    <n v="2"/>
    <n v="3"/>
    <x v="1"/>
    <s v="Delayed"/>
    <s v="Wholesale"/>
    <s v="Furniture"/>
    <s v="Medium"/>
    <n v="3.4"/>
    <n v="8"/>
    <s v="Yes"/>
    <s v="Needs Improvement"/>
  </r>
  <r>
    <s v="SHP1276"/>
    <d v="2026-01-26T00:00:00"/>
    <d v="2026-01-26T00:00:00"/>
    <d v="2026-01-28T00:00:00"/>
    <s v="Ahmedabad"/>
    <s v="Jaipur"/>
    <x v="2"/>
    <n v="519"/>
    <x v="3"/>
    <n v="2"/>
    <n v="3114"/>
    <n v="10"/>
    <x v="15"/>
    <n v="8"/>
    <n v="4.2"/>
    <x v="0"/>
    <s v="Medium"/>
    <s v="Average"/>
    <n v="1"/>
    <n v="2"/>
    <x v="1"/>
    <s v="Delayed"/>
    <s v="Retail"/>
    <s v="Machinery"/>
    <s v="Medium"/>
    <n v="4"/>
    <n v="6"/>
    <s v="Yes"/>
    <s v="Needs Improvement"/>
  </r>
  <r>
    <s v="SHP1277"/>
    <d v="2026-04-08T00:00:00"/>
    <d v="2026-04-10T00:00:00"/>
    <d v="2026-04-13T00:00:00"/>
    <s v="Kolkata"/>
    <s v="Patna"/>
    <x v="3"/>
    <n v="1014"/>
    <x v="2"/>
    <n v="10"/>
    <n v="7098"/>
    <n v="5"/>
    <x v="9"/>
    <n v="13"/>
    <n v="3.8"/>
    <x v="0"/>
    <s v="High"/>
    <s v="Average"/>
    <n v="2"/>
    <n v="3"/>
    <x v="1"/>
    <s v="Delayed"/>
    <s v="Retail"/>
    <s v="Electronics"/>
    <s v="High"/>
    <n v="4"/>
    <n v="7"/>
    <s v="Yes"/>
    <s v="Needs Improvement"/>
  </r>
  <r>
    <s v="SHP1278"/>
    <d v="2026-02-10T00:00:00"/>
    <d v="2026-02-12T00:00:00"/>
    <d v="2026-02-14T00:00:00"/>
    <s v="Delhi"/>
    <s v="Mumbai"/>
    <x v="0"/>
    <n v="224"/>
    <x v="2"/>
    <n v="7"/>
    <n v="2240"/>
    <n v="5"/>
    <x v="44"/>
    <n v="6"/>
    <n v="4.2"/>
    <x v="3"/>
    <s v="Low"/>
    <s v="Poor"/>
    <n v="1"/>
    <n v="2"/>
    <x v="1"/>
    <s v="Delayed"/>
    <s v="Retail"/>
    <s v="Food"/>
    <s v="High"/>
    <n v="3.7"/>
    <n v="10"/>
    <s v="Yes"/>
    <s v="Needs Improvement"/>
  </r>
  <r>
    <s v="SHP1279"/>
    <d v="2026-01-24T00:00:00"/>
    <d v="2026-01-25T00:00:00"/>
    <d v="2026-01-28T00:00:00"/>
    <s v="Lucknow"/>
    <s v="Delhi"/>
    <x v="7"/>
    <n v="631"/>
    <x v="1"/>
    <n v="6"/>
    <n v="5048"/>
    <n v="8"/>
    <x v="1"/>
    <n v="8"/>
    <n v="3.4"/>
    <x v="1"/>
    <s v="High"/>
    <s v="Poor"/>
    <n v="1"/>
    <n v="3"/>
    <x v="2"/>
    <s v="Delayed"/>
    <s v="Corporate"/>
    <s v="Machinery"/>
    <s v="Medium"/>
    <n v="4.7"/>
    <n v="8"/>
    <s v="Yes"/>
    <s v="Needs Improvement"/>
  </r>
  <r>
    <s v="SHP1280"/>
    <d v="2026-01-26T00:00:00"/>
    <d v="2026-01-26T00:00:00"/>
    <d v="2026-01-30T00:00:00"/>
    <s v="Indore"/>
    <s v="Hyderabad"/>
    <x v="5"/>
    <n v="1168"/>
    <x v="3"/>
    <n v="3"/>
    <n v="10512"/>
    <n v="8"/>
    <x v="31"/>
    <n v="15"/>
    <n v="4.7"/>
    <x v="3"/>
    <s v="Medium"/>
    <s v="Average"/>
    <n v="2"/>
    <n v="4"/>
    <x v="2"/>
    <s v="Delayed"/>
    <s v="Wholesale"/>
    <s v="Electronics"/>
    <s v="Medium"/>
    <n v="3.2"/>
    <n v="9"/>
    <s v="Yes"/>
    <s v="Needs Improvement"/>
  </r>
  <r>
    <s v="SHP1281"/>
    <d v="2026-01-21T00:00:00"/>
    <d v="2026-01-21T00:00:00"/>
    <d v="2026-01-22T00:00:00"/>
    <s v="Chennai"/>
    <s v="Bangalore"/>
    <x v="1"/>
    <n v="720"/>
    <x v="1"/>
    <n v="2"/>
    <n v="6480"/>
    <n v="10"/>
    <x v="29"/>
    <n v="5"/>
    <n v="3.7"/>
    <x v="3"/>
    <s v="Medium"/>
    <s v="Good"/>
    <n v="1"/>
    <n v="1"/>
    <x v="0"/>
    <s v="On Time"/>
    <s v="Retail"/>
    <s v="Machinery"/>
    <s v="Low"/>
    <n v="4.2"/>
    <n v="9"/>
    <s v="No"/>
    <s v="Efficient"/>
  </r>
  <r>
    <s v="SHP1282"/>
    <d v="2026-03-25T00:00:00"/>
    <d v="2026-03-27T00:00:00"/>
    <d v="2026-04-01T00:00:00"/>
    <s v="Indore"/>
    <s v="Hyderabad"/>
    <x v="5"/>
    <n v="1798"/>
    <x v="0"/>
    <n v="6"/>
    <n v="14384"/>
    <n v="10"/>
    <x v="39"/>
    <n v="8"/>
    <n v="4.5"/>
    <x v="2"/>
    <s v="Low"/>
    <s v="Average"/>
    <n v="3"/>
    <n v="5"/>
    <x v="2"/>
    <s v="Delayed"/>
    <s v="Retail"/>
    <s v="Furniture"/>
    <s v="Low"/>
    <n v="4.3"/>
    <n v="8"/>
    <s v="Yes"/>
    <s v="Needs Improvement"/>
  </r>
  <r>
    <s v="SHP1283"/>
    <d v="2026-04-29T00:00:00"/>
    <d v="2026-04-30T00:00:00"/>
    <d v="2026-05-06T00:00:00"/>
    <s v="Lucknow"/>
    <s v="Delhi"/>
    <x v="7"/>
    <n v="1492"/>
    <x v="1"/>
    <n v="2"/>
    <n v="8952"/>
    <n v="6"/>
    <x v="29"/>
    <n v="4"/>
    <n v="3.6"/>
    <x v="3"/>
    <s v="High"/>
    <s v="Average"/>
    <n v="3"/>
    <n v="6"/>
    <x v="3"/>
    <s v="Delayed"/>
    <s v="Retail"/>
    <s v="Machinery"/>
    <s v="High"/>
    <n v="4.9000000000000004"/>
    <n v="6"/>
    <s v="Yes"/>
    <s v="Needs Improvement"/>
  </r>
  <r>
    <s v="SHP1284"/>
    <d v="2026-02-22T00:00:00"/>
    <d v="2026-02-22T00:00:00"/>
    <d v="2026-02-23T00:00:00"/>
    <s v="Indore"/>
    <s v="Hyderabad"/>
    <x v="5"/>
    <n v="247"/>
    <x v="2"/>
    <n v="4"/>
    <n v="2717"/>
    <n v="7"/>
    <x v="0"/>
    <n v="12"/>
    <n v="4.5"/>
    <x v="1"/>
    <s v="Low"/>
    <s v="Average"/>
    <n v="1"/>
    <n v="1"/>
    <x v="0"/>
    <s v="On Time"/>
    <s v="Corporate"/>
    <s v="Food"/>
    <s v="High"/>
    <n v="3.1"/>
    <n v="11"/>
    <s v="No"/>
    <s v="Efficient"/>
  </r>
  <r>
    <s v="SHP1285"/>
    <d v="2026-04-09T00:00:00"/>
    <d v="2026-04-10T00:00:00"/>
    <d v="2026-04-13T00:00:00"/>
    <s v="Bhopal"/>
    <s v="Pune"/>
    <x v="4"/>
    <n v="412"/>
    <x v="0"/>
    <n v="10"/>
    <n v="2884"/>
    <n v="5"/>
    <x v="12"/>
    <n v="15"/>
    <n v="4.8"/>
    <x v="3"/>
    <s v="Low"/>
    <s v="Good"/>
    <n v="1"/>
    <n v="3"/>
    <x v="2"/>
    <s v="Delayed"/>
    <s v="Retail"/>
    <s v="Furniture"/>
    <s v="Low"/>
    <n v="4.0999999999999996"/>
    <n v="7"/>
    <s v="Yes"/>
    <s v="Needs Improvement"/>
  </r>
  <r>
    <s v="SHP1286"/>
    <d v="2026-01-22T00:00:00"/>
    <d v="2026-01-22T00:00:00"/>
    <d v="2026-01-29T00:00:00"/>
    <s v="Delhi"/>
    <s v="Mumbai"/>
    <x v="0"/>
    <n v="1558"/>
    <x v="0"/>
    <n v="6"/>
    <n v="18696"/>
    <n v="8"/>
    <x v="3"/>
    <n v="14"/>
    <n v="4.0999999999999996"/>
    <x v="3"/>
    <s v="High"/>
    <s v="Average"/>
    <n v="3"/>
    <n v="7"/>
    <x v="4"/>
    <s v="Delayed"/>
    <s v="Corporate"/>
    <s v="Machinery"/>
    <s v="High"/>
    <n v="3.9"/>
    <n v="12"/>
    <s v="Yes"/>
    <s v="Needs Improvement"/>
  </r>
  <r>
    <s v="SHP1287"/>
    <d v="2026-04-06T00:00:00"/>
    <d v="2026-04-08T00:00:00"/>
    <d v="2026-04-10T00:00:00"/>
    <s v="Lucknow"/>
    <s v="Delhi"/>
    <x v="7"/>
    <n v="1272"/>
    <x v="0"/>
    <n v="6"/>
    <n v="11448"/>
    <n v="9"/>
    <x v="45"/>
    <n v="13"/>
    <n v="3.2"/>
    <x v="3"/>
    <s v="Medium"/>
    <s v="Average"/>
    <n v="2"/>
    <n v="2"/>
    <x v="0"/>
    <s v="On Time"/>
    <s v="Retail"/>
    <s v="Electronics"/>
    <s v="Low"/>
    <n v="4"/>
    <n v="9"/>
    <s v="No"/>
    <s v="Efficient"/>
  </r>
  <r>
    <s v="SHP1288"/>
    <d v="2026-04-08T00:00:00"/>
    <d v="2026-04-08T00:00:00"/>
    <d v="2026-04-11T00:00:00"/>
    <s v="Ahmedabad"/>
    <s v="Jaipur"/>
    <x v="2"/>
    <n v="787"/>
    <x v="1"/>
    <n v="9"/>
    <n v="4722"/>
    <n v="10"/>
    <x v="32"/>
    <n v="13"/>
    <n v="4"/>
    <x v="0"/>
    <s v="Medium"/>
    <s v="Average"/>
    <n v="1"/>
    <n v="3"/>
    <x v="2"/>
    <s v="Delayed"/>
    <s v="Corporate"/>
    <s v="Electronics"/>
    <s v="High"/>
    <n v="3.7"/>
    <n v="6"/>
    <s v="Yes"/>
    <s v="Needs Improvement"/>
  </r>
  <r>
    <s v="SHP1289"/>
    <d v="2026-02-22T00:00:00"/>
    <d v="2026-02-24T00:00:00"/>
    <d v="2026-02-28T00:00:00"/>
    <s v="Lucknow"/>
    <s v="Delhi"/>
    <x v="7"/>
    <n v="1008"/>
    <x v="2"/>
    <n v="3"/>
    <n v="11088"/>
    <n v="10"/>
    <x v="12"/>
    <n v="7"/>
    <n v="4.7"/>
    <x v="1"/>
    <s v="Medium"/>
    <s v="Good"/>
    <n v="2"/>
    <n v="4"/>
    <x v="2"/>
    <s v="Delayed"/>
    <s v="Corporate"/>
    <s v="Machinery"/>
    <s v="High"/>
    <n v="4.5999999999999996"/>
    <n v="11"/>
    <s v="Yes"/>
    <s v="Needs Improvement"/>
  </r>
  <r>
    <s v="SHP1290"/>
    <d v="2026-03-29T00:00:00"/>
    <d v="2026-03-30T00:00:00"/>
    <d v="2026-04-06T00:00:00"/>
    <s v="Kolkata"/>
    <s v="Patna"/>
    <x v="3"/>
    <n v="1528"/>
    <x v="0"/>
    <n v="7"/>
    <n v="10696"/>
    <n v="5"/>
    <x v="49"/>
    <n v="3"/>
    <n v="3.6"/>
    <x v="2"/>
    <s v="High"/>
    <s v="Average"/>
    <n v="3"/>
    <n v="7"/>
    <x v="4"/>
    <s v="Delayed"/>
    <s v="Retail"/>
    <s v="Furniture"/>
    <s v="Medium"/>
    <n v="3"/>
    <n v="7"/>
    <s v="Yes"/>
    <s v="Needs Improvement"/>
  </r>
  <r>
    <s v="SHP1291"/>
    <d v="2026-01-07T00:00:00"/>
    <d v="2026-01-09T00:00:00"/>
    <d v="2026-01-11T00:00:00"/>
    <s v="Delhi"/>
    <s v="Mumbai"/>
    <x v="0"/>
    <n v="580"/>
    <x v="3"/>
    <n v="5"/>
    <n v="4640"/>
    <n v="6"/>
    <x v="47"/>
    <n v="8"/>
    <n v="4.5"/>
    <x v="1"/>
    <s v="Low"/>
    <s v="Good"/>
    <n v="1"/>
    <n v="2"/>
    <x v="1"/>
    <s v="Delayed"/>
    <s v="Corporate"/>
    <s v="Clothing"/>
    <s v="Medium"/>
    <n v="3.6"/>
    <n v="8"/>
    <s v="Yes"/>
    <s v="Needs Improvement"/>
  </r>
  <r>
    <s v="SHP1292"/>
    <d v="2026-04-13T00:00:00"/>
    <d v="2026-04-14T00:00:00"/>
    <d v="2026-04-16T00:00:00"/>
    <s v="Ahmedabad"/>
    <s v="Jaipur"/>
    <x v="2"/>
    <n v="1149"/>
    <x v="3"/>
    <n v="6"/>
    <n v="6894"/>
    <n v="6"/>
    <x v="42"/>
    <n v="5"/>
    <n v="4.5999999999999996"/>
    <x v="0"/>
    <s v="High"/>
    <s v="Average"/>
    <n v="2"/>
    <n v="2"/>
    <x v="0"/>
    <s v="On Time"/>
    <s v="Retail"/>
    <s v="Food"/>
    <s v="Low"/>
    <n v="3.2"/>
    <n v="6"/>
    <s v="No"/>
    <s v="Efficient"/>
  </r>
  <r>
    <s v="SHP1293"/>
    <d v="2026-04-09T00:00:00"/>
    <d v="2026-04-11T00:00:00"/>
    <d v="2026-04-16T00:00:00"/>
    <s v="Chennai"/>
    <s v="Bangalore"/>
    <x v="1"/>
    <n v="988"/>
    <x v="1"/>
    <n v="4"/>
    <n v="10868"/>
    <n v="5"/>
    <x v="34"/>
    <n v="8"/>
    <n v="4.5"/>
    <x v="0"/>
    <s v="High"/>
    <s v="Poor"/>
    <n v="2"/>
    <n v="5"/>
    <x v="3"/>
    <s v="Delayed"/>
    <s v="Retail"/>
    <s v="Clothing"/>
    <s v="Medium"/>
    <n v="3.3"/>
    <n v="11"/>
    <s v="Yes"/>
    <s v="Needs Improvement"/>
  </r>
  <r>
    <s v="SHP1294"/>
    <d v="2026-04-04T00:00:00"/>
    <d v="2026-04-04T00:00:00"/>
    <d v="2026-04-06T00:00:00"/>
    <s v="Bhopal"/>
    <s v="Pune"/>
    <x v="4"/>
    <n v="718"/>
    <x v="1"/>
    <n v="5"/>
    <n v="5026"/>
    <n v="7"/>
    <x v="42"/>
    <n v="14"/>
    <n v="4.3"/>
    <x v="0"/>
    <s v="Low"/>
    <s v="Poor"/>
    <n v="1"/>
    <n v="2"/>
    <x v="1"/>
    <s v="Delayed"/>
    <s v="Retail"/>
    <s v="Electronics"/>
    <s v="Low"/>
    <n v="4.5999999999999996"/>
    <n v="7"/>
    <s v="Yes"/>
    <s v="Needs Improvement"/>
  </r>
  <r>
    <s v="SHP1295"/>
    <d v="2026-03-16T00:00:00"/>
    <d v="2026-03-16T00:00:00"/>
    <d v="2026-03-18T00:00:00"/>
    <s v="Lucknow"/>
    <s v="Delhi"/>
    <x v="7"/>
    <n v="697"/>
    <x v="3"/>
    <n v="1"/>
    <n v="6970"/>
    <n v="10"/>
    <x v="20"/>
    <n v="12"/>
    <n v="4.2"/>
    <x v="3"/>
    <s v="Low"/>
    <s v="Good"/>
    <n v="1"/>
    <n v="2"/>
    <x v="1"/>
    <s v="Delayed"/>
    <s v="Corporate"/>
    <s v="Machinery"/>
    <s v="Medium"/>
    <n v="4.9000000000000004"/>
    <n v="10"/>
    <s v="Yes"/>
    <s v="Needs Improvement"/>
  </r>
  <r>
    <s v="SHP1296"/>
    <d v="2026-04-08T00:00:00"/>
    <d v="2026-04-10T00:00:00"/>
    <d v="2026-04-16T00:00:00"/>
    <s v="Delhi"/>
    <s v="Mumbai"/>
    <x v="0"/>
    <n v="322"/>
    <x v="0"/>
    <n v="3"/>
    <n v="3542"/>
    <n v="9"/>
    <x v="17"/>
    <n v="3"/>
    <n v="4"/>
    <x v="3"/>
    <s v="High"/>
    <s v="Poor"/>
    <n v="1"/>
    <n v="6"/>
    <x v="5"/>
    <s v="Delayed"/>
    <s v="Corporate"/>
    <s v="Electronics"/>
    <s v="High"/>
    <n v="3.8"/>
    <n v="11"/>
    <s v="Yes"/>
    <s v="Needs Improvement"/>
  </r>
  <r>
    <s v="SHP1297"/>
    <d v="2026-04-03T00:00:00"/>
    <d v="2026-04-03T00:00:00"/>
    <d v="2026-04-07T00:00:00"/>
    <s v="Kolkata"/>
    <s v="Patna"/>
    <x v="3"/>
    <n v="280"/>
    <x v="1"/>
    <n v="8"/>
    <n v="2800"/>
    <n v="7"/>
    <x v="2"/>
    <n v="12"/>
    <n v="4"/>
    <x v="1"/>
    <s v="High"/>
    <s v="Average"/>
    <n v="1"/>
    <n v="4"/>
    <x v="3"/>
    <s v="Delayed"/>
    <s v="Retail"/>
    <s v="Machinery"/>
    <s v="High"/>
    <n v="3.3"/>
    <n v="10"/>
    <s v="Yes"/>
    <s v="Needs Improvement"/>
  </r>
  <r>
    <s v="SHP1298"/>
    <d v="2026-03-09T00:00:00"/>
    <d v="2026-03-09T00:00:00"/>
    <d v="2026-03-12T00:00:00"/>
    <s v="Nagpur"/>
    <s v="Surat"/>
    <x v="6"/>
    <n v="805"/>
    <x v="0"/>
    <n v="9"/>
    <n v="6440"/>
    <n v="8"/>
    <x v="33"/>
    <n v="13"/>
    <n v="4.3"/>
    <x v="2"/>
    <s v="High"/>
    <s v="Good"/>
    <n v="1"/>
    <n v="3"/>
    <x v="2"/>
    <s v="Delayed"/>
    <s v="Wholesale"/>
    <s v="Furniture"/>
    <s v="Medium"/>
    <n v="4.4000000000000004"/>
    <n v="8"/>
    <s v="Yes"/>
    <s v="Needs Improvement"/>
  </r>
  <r>
    <s v="SHP1299"/>
    <d v="2026-03-26T00:00:00"/>
    <d v="2026-03-28T00:00:00"/>
    <d v="2026-03-29T00:00:00"/>
    <s v="Lucknow"/>
    <s v="Delhi"/>
    <x v="7"/>
    <n v="588"/>
    <x v="1"/>
    <n v="9"/>
    <n v="4116"/>
    <n v="9"/>
    <x v="13"/>
    <n v="6"/>
    <n v="3.8"/>
    <x v="3"/>
    <s v="Low"/>
    <s v="Good"/>
    <n v="1"/>
    <n v="1"/>
    <x v="0"/>
    <s v="On Time"/>
    <s v="Corporate"/>
    <s v="Furniture"/>
    <s v="Low"/>
    <n v="4.7"/>
    <n v="7"/>
    <s v="No"/>
    <s v="Efficient"/>
  </r>
  <r>
    <s v="SHP1300"/>
    <d v="2026-01-26T00:00:00"/>
    <d v="2026-01-26T00:00:00"/>
    <d v="2026-01-27T00:00:00"/>
    <s v="Nagpur"/>
    <s v="Surat"/>
    <x v="6"/>
    <n v="592"/>
    <x v="3"/>
    <n v="1"/>
    <n v="5920"/>
    <n v="10"/>
    <x v="6"/>
    <n v="11"/>
    <n v="4"/>
    <x v="3"/>
    <s v="Low"/>
    <s v="Average"/>
    <n v="1"/>
    <n v="1"/>
    <x v="0"/>
    <s v="On Time"/>
    <s v="Corporate"/>
    <s v="Furniture"/>
    <s v="High"/>
    <n v="4"/>
    <n v="10"/>
    <s v="No"/>
    <s v="Efficient"/>
  </r>
  <r>
    <s v="SHP1301"/>
    <d v="2026-04-24T00:00:00"/>
    <d v="2026-04-24T00:00:00"/>
    <d v="2026-04-29T00:00:00"/>
    <s v="Nagpur"/>
    <s v="Surat"/>
    <x v="6"/>
    <n v="1508"/>
    <x v="3"/>
    <n v="6"/>
    <n v="15080"/>
    <n v="10"/>
    <x v="19"/>
    <n v="14"/>
    <n v="3.7"/>
    <x v="0"/>
    <s v="High"/>
    <s v="Average"/>
    <n v="3"/>
    <n v="5"/>
    <x v="2"/>
    <s v="Delayed"/>
    <s v="Corporate"/>
    <s v="Clothing"/>
    <s v="Low"/>
    <n v="4.9000000000000004"/>
    <n v="10"/>
    <s v="Yes"/>
    <s v="Needs Improvement"/>
  </r>
  <r>
    <s v="SHP1302"/>
    <d v="2026-03-08T00:00:00"/>
    <d v="2026-03-08T00:00:00"/>
    <d v="2026-03-12T00:00:00"/>
    <s v="Bhopal"/>
    <s v="Pune"/>
    <x v="4"/>
    <n v="1685"/>
    <x v="2"/>
    <n v="9"/>
    <n v="15165"/>
    <n v="6"/>
    <x v="34"/>
    <n v="9"/>
    <n v="4.3"/>
    <x v="1"/>
    <s v="High"/>
    <s v="Poor"/>
    <n v="3"/>
    <n v="4"/>
    <x v="1"/>
    <s v="Delayed"/>
    <s v="Wholesale"/>
    <s v="Machinery"/>
    <s v="Medium"/>
    <n v="4.3"/>
    <n v="9"/>
    <s v="Yes"/>
    <s v="Needs Improvement"/>
  </r>
  <r>
    <s v="SHP1303"/>
    <d v="2026-03-31T00:00:00"/>
    <d v="2026-04-02T00:00:00"/>
    <d v="2026-04-05T00:00:00"/>
    <s v="Lucknow"/>
    <s v="Delhi"/>
    <x v="7"/>
    <n v="413"/>
    <x v="2"/>
    <n v="3"/>
    <n v="4130"/>
    <n v="8"/>
    <x v="39"/>
    <n v="6"/>
    <n v="4.3"/>
    <x v="2"/>
    <s v="Medium"/>
    <s v="Average"/>
    <n v="1"/>
    <n v="3"/>
    <x v="2"/>
    <s v="Delayed"/>
    <s v="Retail"/>
    <s v="Food"/>
    <s v="High"/>
    <n v="3.9"/>
    <n v="10"/>
    <s v="Yes"/>
    <s v="Needs Improvement"/>
  </r>
  <r>
    <s v="SHP1304"/>
    <d v="2026-04-03T00:00:00"/>
    <d v="2026-04-04T00:00:00"/>
    <d v="2026-04-07T00:00:00"/>
    <s v="Chennai"/>
    <s v="Bangalore"/>
    <x v="1"/>
    <n v="1353"/>
    <x v="2"/>
    <n v="7"/>
    <n v="16236"/>
    <n v="9"/>
    <x v="0"/>
    <n v="5"/>
    <n v="3.7"/>
    <x v="2"/>
    <s v="Medium"/>
    <s v="Average"/>
    <n v="3"/>
    <n v="3"/>
    <x v="0"/>
    <s v="On Time"/>
    <s v="Retail"/>
    <s v="Machinery"/>
    <s v="Low"/>
    <n v="4"/>
    <n v="12"/>
    <s v="No"/>
    <s v="Efficient"/>
  </r>
  <r>
    <s v="SHP1305"/>
    <d v="2026-04-24T00:00:00"/>
    <d v="2026-04-25T00:00:00"/>
    <d v="2026-04-26T00:00:00"/>
    <s v="Delhi"/>
    <s v="Mumbai"/>
    <x v="0"/>
    <n v="815"/>
    <x v="2"/>
    <n v="4"/>
    <n v="9780"/>
    <n v="7"/>
    <x v="27"/>
    <n v="13"/>
    <n v="4.5999999999999996"/>
    <x v="3"/>
    <s v="High"/>
    <s v="Poor"/>
    <n v="1"/>
    <n v="1"/>
    <x v="0"/>
    <s v="On Time"/>
    <s v="Retail"/>
    <s v="Clothing"/>
    <s v="Low"/>
    <n v="3.3"/>
    <n v="12"/>
    <s v="No"/>
    <s v="Efficient"/>
  </r>
  <r>
    <s v="SHP1306"/>
    <d v="2026-02-16T00:00:00"/>
    <d v="2026-02-18T00:00:00"/>
    <d v="2026-02-20T00:00:00"/>
    <s v="Chennai"/>
    <s v="Bangalore"/>
    <x v="1"/>
    <n v="677"/>
    <x v="0"/>
    <n v="5"/>
    <n v="4062"/>
    <n v="9"/>
    <x v="41"/>
    <n v="10"/>
    <n v="4.8"/>
    <x v="0"/>
    <s v="High"/>
    <s v="Average"/>
    <n v="1"/>
    <n v="2"/>
    <x v="1"/>
    <s v="Delayed"/>
    <s v="Retail"/>
    <s v="Machinery"/>
    <s v="Low"/>
    <n v="4.2"/>
    <n v="6"/>
    <s v="Yes"/>
    <s v="Needs Improvement"/>
  </r>
  <r>
    <s v="SHP1307"/>
    <d v="2026-02-08T00:00:00"/>
    <d v="2026-02-08T00:00:00"/>
    <d v="2026-02-14T00:00:00"/>
    <s v="Lucknow"/>
    <s v="Delhi"/>
    <x v="7"/>
    <n v="360"/>
    <x v="3"/>
    <n v="6"/>
    <n v="2880"/>
    <n v="8"/>
    <x v="19"/>
    <n v="15"/>
    <n v="4.7"/>
    <x v="1"/>
    <s v="High"/>
    <s v="Poor"/>
    <n v="1"/>
    <n v="6"/>
    <x v="5"/>
    <s v="Delayed"/>
    <s v="Retail"/>
    <s v="Electronics"/>
    <s v="Medium"/>
    <n v="4"/>
    <n v="8"/>
    <s v="Yes"/>
    <s v="Needs Improvement"/>
  </r>
  <r>
    <s v="SHP1308"/>
    <d v="2026-02-10T00:00:00"/>
    <d v="2026-02-12T00:00:00"/>
    <d v="2026-02-14T00:00:00"/>
    <s v="Indore"/>
    <s v="Hyderabad"/>
    <x v="5"/>
    <n v="869"/>
    <x v="2"/>
    <n v="3"/>
    <n v="5214"/>
    <n v="10"/>
    <x v="7"/>
    <n v="7"/>
    <n v="4.9000000000000004"/>
    <x v="0"/>
    <s v="Low"/>
    <s v="Average"/>
    <n v="1"/>
    <n v="2"/>
    <x v="1"/>
    <s v="Delayed"/>
    <s v="Retail"/>
    <s v="Furniture"/>
    <s v="Low"/>
    <n v="3.7"/>
    <n v="6"/>
    <s v="Yes"/>
    <s v="Needs Improvement"/>
  </r>
  <r>
    <s v="SHP1309"/>
    <d v="2026-03-02T00:00:00"/>
    <d v="2026-03-04T00:00:00"/>
    <d v="2026-03-07T00:00:00"/>
    <s v="Delhi"/>
    <s v="Mumbai"/>
    <x v="0"/>
    <n v="1322"/>
    <x v="1"/>
    <n v="5"/>
    <n v="7932"/>
    <n v="8"/>
    <x v="39"/>
    <n v="7"/>
    <n v="4.5"/>
    <x v="1"/>
    <s v="Low"/>
    <s v="Average"/>
    <n v="2"/>
    <n v="3"/>
    <x v="1"/>
    <s v="Delayed"/>
    <s v="Retail"/>
    <s v="Food"/>
    <s v="High"/>
    <n v="4.0999999999999996"/>
    <n v="6"/>
    <s v="Yes"/>
    <s v="Needs Improvement"/>
  </r>
  <r>
    <s v="SHP1310"/>
    <d v="2026-03-13T00:00:00"/>
    <d v="2026-03-15T00:00:00"/>
    <d v="2026-03-17T00:00:00"/>
    <s v="Chennai"/>
    <s v="Bangalore"/>
    <x v="1"/>
    <n v="696"/>
    <x v="3"/>
    <n v="5"/>
    <n v="8352"/>
    <n v="8"/>
    <x v="44"/>
    <n v="11"/>
    <n v="4.8"/>
    <x v="0"/>
    <s v="Low"/>
    <s v="Poor"/>
    <n v="1"/>
    <n v="2"/>
    <x v="1"/>
    <s v="Delayed"/>
    <s v="Retail"/>
    <s v="Clothing"/>
    <s v="Medium"/>
    <n v="3.4"/>
    <n v="12"/>
    <s v="Yes"/>
    <s v="Needs Improvement"/>
  </r>
  <r>
    <s v="SHP1311"/>
    <d v="2026-02-14T00:00:00"/>
    <d v="2026-02-16T00:00:00"/>
    <d v="2026-02-20T00:00:00"/>
    <s v="Delhi"/>
    <s v="Mumbai"/>
    <x v="0"/>
    <n v="1776"/>
    <x v="0"/>
    <n v="3"/>
    <n v="14208"/>
    <n v="9"/>
    <x v="25"/>
    <n v="10"/>
    <n v="3.3"/>
    <x v="0"/>
    <s v="Low"/>
    <s v="Good"/>
    <n v="3"/>
    <n v="4"/>
    <x v="1"/>
    <s v="Delayed"/>
    <s v="Corporate"/>
    <s v="Electronics"/>
    <s v="Low"/>
    <n v="4.5"/>
    <n v="8"/>
    <s v="Yes"/>
    <s v="Needs Improvement"/>
  </r>
  <r>
    <s v="SHP1312"/>
    <d v="2026-02-01T00:00:00"/>
    <d v="2026-02-03T00:00:00"/>
    <d v="2026-02-05T00:00:00"/>
    <s v="Indore"/>
    <s v="Hyderabad"/>
    <x v="5"/>
    <n v="789"/>
    <x v="3"/>
    <n v="6"/>
    <n v="8679"/>
    <n v="5"/>
    <x v="26"/>
    <n v="8"/>
    <n v="3.9"/>
    <x v="3"/>
    <s v="Low"/>
    <s v="Poor"/>
    <n v="1"/>
    <n v="2"/>
    <x v="1"/>
    <s v="Delayed"/>
    <s v="Corporate"/>
    <s v="Machinery"/>
    <s v="High"/>
    <n v="4.5"/>
    <n v="11"/>
    <s v="Yes"/>
    <s v="Needs Improvement"/>
  </r>
  <r>
    <s v="SHP1313"/>
    <d v="2026-03-12T00:00:00"/>
    <d v="2026-03-13T00:00:00"/>
    <d v="2026-03-17T00:00:00"/>
    <s v="Indore"/>
    <s v="Hyderabad"/>
    <x v="5"/>
    <n v="1623"/>
    <x v="3"/>
    <n v="7"/>
    <n v="16230"/>
    <n v="10"/>
    <x v="9"/>
    <n v="1"/>
    <n v="3.5"/>
    <x v="0"/>
    <s v="Medium"/>
    <s v="Good"/>
    <n v="3"/>
    <n v="4"/>
    <x v="1"/>
    <s v="Delayed"/>
    <s v="Corporate"/>
    <s v="Food"/>
    <s v="High"/>
    <n v="4.9000000000000004"/>
    <n v="10"/>
    <s v="Yes"/>
    <s v="Needs Improvement"/>
  </r>
  <r>
    <s v="SHP1314"/>
    <d v="2026-01-09T00:00:00"/>
    <d v="2026-01-10T00:00:00"/>
    <d v="2026-01-16T00:00:00"/>
    <s v="Kolkata"/>
    <s v="Patna"/>
    <x v="3"/>
    <n v="1557"/>
    <x v="0"/>
    <n v="2"/>
    <n v="9342"/>
    <n v="7"/>
    <x v="12"/>
    <n v="7"/>
    <n v="3.5"/>
    <x v="2"/>
    <s v="High"/>
    <s v="Poor"/>
    <n v="3"/>
    <n v="6"/>
    <x v="3"/>
    <s v="Delayed"/>
    <s v="Wholesale"/>
    <s v="Machinery"/>
    <s v="Low"/>
    <n v="3.4"/>
    <n v="6"/>
    <s v="Yes"/>
    <s v="Needs Improvement"/>
  </r>
  <r>
    <s v="SHP1315"/>
    <d v="2026-03-06T00:00:00"/>
    <d v="2026-03-07T00:00:00"/>
    <d v="2026-03-10T00:00:00"/>
    <s v="Delhi"/>
    <s v="Mumbai"/>
    <x v="0"/>
    <n v="281"/>
    <x v="2"/>
    <n v="9"/>
    <n v="2248"/>
    <n v="7"/>
    <x v="32"/>
    <n v="7"/>
    <n v="4.5"/>
    <x v="0"/>
    <s v="Medium"/>
    <s v="Poor"/>
    <n v="1"/>
    <n v="3"/>
    <x v="2"/>
    <s v="Delayed"/>
    <s v="Retail"/>
    <s v="Clothing"/>
    <s v="Low"/>
    <n v="5"/>
    <n v="8"/>
    <s v="Yes"/>
    <s v="Needs Improvement"/>
  </r>
  <r>
    <s v="SHP1316"/>
    <d v="2026-03-06T00:00:00"/>
    <d v="2026-03-07T00:00:00"/>
    <d v="2026-03-10T00:00:00"/>
    <s v="Delhi"/>
    <s v="Mumbai"/>
    <x v="0"/>
    <n v="1481"/>
    <x v="0"/>
    <n v="7"/>
    <n v="17772"/>
    <n v="5"/>
    <x v="10"/>
    <n v="5"/>
    <n v="3.5"/>
    <x v="3"/>
    <s v="Medium"/>
    <s v="Poor"/>
    <n v="3"/>
    <n v="3"/>
    <x v="0"/>
    <s v="On Time"/>
    <s v="Wholesale"/>
    <s v="Food"/>
    <s v="High"/>
    <n v="4.9000000000000004"/>
    <n v="12"/>
    <s v="No"/>
    <s v="Efficient"/>
  </r>
  <r>
    <s v="SHP1317"/>
    <d v="2026-03-20T00:00:00"/>
    <d v="2026-03-22T00:00:00"/>
    <d v="2026-03-25T00:00:00"/>
    <s v="Chennai"/>
    <s v="Bangalore"/>
    <x v="1"/>
    <n v="1054"/>
    <x v="2"/>
    <n v="10"/>
    <n v="7378"/>
    <n v="8"/>
    <x v="26"/>
    <n v="15"/>
    <n v="4.2"/>
    <x v="2"/>
    <s v="High"/>
    <s v="Good"/>
    <n v="2"/>
    <n v="3"/>
    <x v="1"/>
    <s v="Delayed"/>
    <s v="Wholesale"/>
    <s v="Machinery"/>
    <s v="High"/>
    <n v="4.5999999999999996"/>
    <n v="7"/>
    <s v="Yes"/>
    <s v="Needs Improvement"/>
  </r>
  <r>
    <s v="SHP1318"/>
    <d v="2026-04-21T00:00:00"/>
    <d v="2026-04-21T00:00:00"/>
    <d v="2026-04-24T00:00:00"/>
    <s v="Kolkata"/>
    <s v="Patna"/>
    <x v="3"/>
    <n v="1610"/>
    <x v="2"/>
    <n v="7"/>
    <n v="19320"/>
    <n v="6"/>
    <x v="12"/>
    <n v="15"/>
    <n v="4.0999999999999996"/>
    <x v="1"/>
    <s v="Medium"/>
    <s v="Good"/>
    <n v="3"/>
    <n v="3"/>
    <x v="0"/>
    <s v="On Time"/>
    <s v="Corporate"/>
    <s v="Clothing"/>
    <s v="Low"/>
    <n v="4.5"/>
    <n v="12"/>
    <s v="No"/>
    <s v="Efficient"/>
  </r>
  <r>
    <s v="SHP1319"/>
    <d v="2026-04-08T00:00:00"/>
    <d v="2026-04-09T00:00:00"/>
    <d v="2026-04-11T00:00:00"/>
    <s v="Lucknow"/>
    <s v="Delhi"/>
    <x v="7"/>
    <n v="1042"/>
    <x v="0"/>
    <n v="8"/>
    <n v="11462"/>
    <n v="10"/>
    <x v="0"/>
    <n v="5"/>
    <n v="3.3"/>
    <x v="1"/>
    <s v="Low"/>
    <s v="Good"/>
    <n v="2"/>
    <n v="2"/>
    <x v="0"/>
    <s v="On Time"/>
    <s v="Wholesale"/>
    <s v="Machinery"/>
    <s v="Medium"/>
    <n v="4.2"/>
    <n v="11"/>
    <s v="No"/>
    <s v="Efficient"/>
  </r>
  <r>
    <s v="SHP1320"/>
    <d v="2026-03-20T00:00:00"/>
    <d v="2026-03-20T00:00:00"/>
    <d v="2026-03-24T00:00:00"/>
    <s v="Chennai"/>
    <s v="Bangalore"/>
    <x v="1"/>
    <n v="672"/>
    <x v="3"/>
    <n v="6"/>
    <n v="4032"/>
    <n v="10"/>
    <x v="36"/>
    <n v="8"/>
    <n v="3.3"/>
    <x v="2"/>
    <s v="High"/>
    <s v="Poor"/>
    <n v="1"/>
    <n v="4"/>
    <x v="3"/>
    <s v="Delayed"/>
    <s v="Retail"/>
    <s v="Food"/>
    <s v="Low"/>
    <n v="3.3"/>
    <n v="6"/>
    <s v="Yes"/>
    <s v="Needs Improvement"/>
  </r>
  <r>
    <s v="SHP1321"/>
    <d v="2026-01-29T00:00:00"/>
    <d v="2026-01-29T00:00:00"/>
    <d v="2026-02-03T00:00:00"/>
    <s v="Lucknow"/>
    <s v="Delhi"/>
    <x v="7"/>
    <n v="1765"/>
    <x v="3"/>
    <n v="5"/>
    <n v="15885"/>
    <n v="6"/>
    <x v="0"/>
    <n v="11"/>
    <n v="5"/>
    <x v="1"/>
    <s v="Low"/>
    <s v="Good"/>
    <n v="3"/>
    <n v="5"/>
    <x v="2"/>
    <s v="Delayed"/>
    <s v="Retail"/>
    <s v="Clothing"/>
    <s v="Medium"/>
    <n v="4.8"/>
    <n v="9"/>
    <s v="Yes"/>
    <s v="Needs Improvement"/>
  </r>
  <r>
    <s v="SHP1322"/>
    <d v="2026-02-24T00:00:00"/>
    <d v="2026-02-25T00:00:00"/>
    <d v="2026-03-03T00:00:00"/>
    <s v="Delhi"/>
    <s v="Mumbai"/>
    <x v="0"/>
    <n v="1445"/>
    <x v="1"/>
    <n v="6"/>
    <n v="13005"/>
    <n v="9"/>
    <x v="0"/>
    <n v="10"/>
    <n v="4.2"/>
    <x v="0"/>
    <s v="High"/>
    <s v="Good"/>
    <n v="3"/>
    <n v="6"/>
    <x v="3"/>
    <s v="Delayed"/>
    <s v="Corporate"/>
    <s v="Furniture"/>
    <s v="High"/>
    <n v="4.0999999999999996"/>
    <n v="9"/>
    <s v="Yes"/>
    <s v="Needs Improvement"/>
  </r>
  <r>
    <s v="SHP1323"/>
    <d v="2026-04-05T00:00:00"/>
    <d v="2026-04-05T00:00:00"/>
    <d v="2026-04-08T00:00:00"/>
    <s v="Lucknow"/>
    <s v="Delhi"/>
    <x v="7"/>
    <n v="1257"/>
    <x v="3"/>
    <n v="4"/>
    <n v="10056"/>
    <n v="8"/>
    <x v="41"/>
    <n v="15"/>
    <n v="3.6"/>
    <x v="3"/>
    <s v="Medium"/>
    <s v="Good"/>
    <n v="2"/>
    <n v="3"/>
    <x v="1"/>
    <s v="Delayed"/>
    <s v="Wholesale"/>
    <s v="Electronics"/>
    <s v="High"/>
    <n v="4"/>
    <n v="8"/>
    <s v="Yes"/>
    <s v="Needs Improvement"/>
  </r>
  <r>
    <s v="SHP1324"/>
    <d v="2026-01-19T00:00:00"/>
    <d v="2026-01-20T00:00:00"/>
    <d v="2026-01-21T00:00:00"/>
    <s v="Nagpur"/>
    <s v="Surat"/>
    <x v="6"/>
    <n v="385"/>
    <x v="3"/>
    <n v="3"/>
    <n v="4620"/>
    <n v="9"/>
    <x v="4"/>
    <n v="9"/>
    <n v="3.3"/>
    <x v="2"/>
    <s v="Medium"/>
    <s v="Average"/>
    <n v="1"/>
    <n v="1"/>
    <x v="0"/>
    <s v="On Time"/>
    <s v="Retail"/>
    <s v="Machinery"/>
    <s v="High"/>
    <n v="4.8"/>
    <n v="12"/>
    <s v="No"/>
    <s v="Efficient"/>
  </r>
  <r>
    <s v="SHP1325"/>
    <d v="2026-04-23T00:00:00"/>
    <d v="2026-04-24T00:00:00"/>
    <d v="2026-04-28T00:00:00"/>
    <s v="Bhopal"/>
    <s v="Pune"/>
    <x v="4"/>
    <n v="712"/>
    <x v="0"/>
    <n v="3"/>
    <n v="7832"/>
    <n v="10"/>
    <x v="21"/>
    <n v="2"/>
    <n v="3.2"/>
    <x v="2"/>
    <s v="High"/>
    <s v="Average"/>
    <n v="1"/>
    <n v="4"/>
    <x v="3"/>
    <s v="Delayed"/>
    <s v="Wholesale"/>
    <s v="Machinery"/>
    <s v="High"/>
    <n v="4.9000000000000004"/>
    <n v="11"/>
    <s v="Yes"/>
    <s v="Needs Improvement"/>
  </r>
  <r>
    <s v="SHP1326"/>
    <d v="2026-02-18T00:00:00"/>
    <d v="2026-02-20T00:00:00"/>
    <d v="2026-02-23T00:00:00"/>
    <s v="Lucknow"/>
    <s v="Delhi"/>
    <x v="7"/>
    <n v="289"/>
    <x v="2"/>
    <n v="6"/>
    <n v="2890"/>
    <n v="10"/>
    <x v="5"/>
    <n v="3"/>
    <n v="4.7"/>
    <x v="1"/>
    <s v="High"/>
    <s v="Good"/>
    <n v="1"/>
    <n v="3"/>
    <x v="2"/>
    <s v="Delayed"/>
    <s v="Wholesale"/>
    <s v="Food"/>
    <s v="Medium"/>
    <n v="4.3"/>
    <n v="10"/>
    <s v="Yes"/>
    <s v="Needs Improvement"/>
  </r>
  <r>
    <s v="SHP1327"/>
    <d v="2026-01-16T00:00:00"/>
    <d v="2026-01-16T00:00:00"/>
    <d v="2026-01-20T00:00:00"/>
    <s v="Chennai"/>
    <s v="Bangalore"/>
    <x v="1"/>
    <n v="207"/>
    <x v="0"/>
    <n v="1"/>
    <n v="1863"/>
    <n v="8"/>
    <x v="32"/>
    <n v="9"/>
    <n v="4.5999999999999996"/>
    <x v="2"/>
    <s v="Low"/>
    <s v="Good"/>
    <n v="1"/>
    <n v="4"/>
    <x v="3"/>
    <s v="Delayed"/>
    <s v="Retail"/>
    <s v="Food"/>
    <s v="Medium"/>
    <n v="3.2"/>
    <n v="9"/>
    <s v="Yes"/>
    <s v="Needs Improvement"/>
  </r>
  <r>
    <s v="SHP1328"/>
    <d v="2026-03-18T00:00:00"/>
    <d v="2026-03-18T00:00:00"/>
    <d v="2026-03-21T00:00:00"/>
    <s v="Chennai"/>
    <s v="Bangalore"/>
    <x v="1"/>
    <n v="1320"/>
    <x v="0"/>
    <n v="10"/>
    <n v="14520"/>
    <n v="9"/>
    <x v="11"/>
    <n v="1"/>
    <n v="3.4"/>
    <x v="0"/>
    <s v="High"/>
    <s v="Average"/>
    <n v="2"/>
    <n v="3"/>
    <x v="1"/>
    <s v="Delayed"/>
    <s v="Corporate"/>
    <s v="Machinery"/>
    <s v="High"/>
    <n v="3.6"/>
    <n v="11"/>
    <s v="Yes"/>
    <s v="Needs Improvement"/>
  </r>
  <r>
    <s v="SHP1329"/>
    <d v="2026-04-28T00:00:00"/>
    <d v="2026-04-28T00:00:00"/>
    <d v="2026-05-01T00:00:00"/>
    <s v="Delhi"/>
    <s v="Mumbai"/>
    <x v="0"/>
    <n v="423"/>
    <x v="1"/>
    <n v="3"/>
    <n v="2961"/>
    <n v="10"/>
    <x v="13"/>
    <n v="10"/>
    <n v="4.3"/>
    <x v="1"/>
    <s v="Medium"/>
    <s v="Poor"/>
    <n v="1"/>
    <n v="3"/>
    <x v="2"/>
    <s v="Delayed"/>
    <s v="Corporate"/>
    <s v="Electronics"/>
    <s v="Medium"/>
    <n v="3.6"/>
    <n v="7"/>
    <s v="Yes"/>
    <s v="Needs Improvement"/>
  </r>
  <r>
    <s v="SHP1330"/>
    <d v="2026-04-25T00:00:00"/>
    <d v="2026-04-26T00:00:00"/>
    <d v="2026-05-03T00:00:00"/>
    <s v="Bhopal"/>
    <s v="Pune"/>
    <x v="4"/>
    <n v="1753"/>
    <x v="1"/>
    <n v="9"/>
    <n v="10518"/>
    <n v="7"/>
    <x v="20"/>
    <n v="3"/>
    <n v="3.2"/>
    <x v="3"/>
    <s v="Medium"/>
    <s v="Poor"/>
    <n v="3"/>
    <n v="7"/>
    <x v="4"/>
    <s v="Delayed"/>
    <s v="Corporate"/>
    <s v="Furniture"/>
    <s v="High"/>
    <n v="3.1"/>
    <n v="6"/>
    <s v="Yes"/>
    <s v="Needs Improvement"/>
  </r>
  <r>
    <s v="SHP1331"/>
    <d v="2026-03-15T00:00:00"/>
    <d v="2026-03-17T00:00:00"/>
    <d v="2026-03-22T00:00:00"/>
    <s v="Bhopal"/>
    <s v="Pune"/>
    <x v="4"/>
    <n v="1190"/>
    <x v="0"/>
    <n v="7"/>
    <n v="11900"/>
    <n v="7"/>
    <x v="46"/>
    <n v="9"/>
    <n v="4.2"/>
    <x v="3"/>
    <s v="Low"/>
    <s v="Poor"/>
    <n v="2"/>
    <n v="5"/>
    <x v="3"/>
    <s v="Delayed"/>
    <s v="Wholesale"/>
    <s v="Food"/>
    <s v="Medium"/>
    <n v="4.5999999999999996"/>
    <n v="10"/>
    <s v="Yes"/>
    <s v="Needs Improvement"/>
  </r>
  <r>
    <s v="SHP1332"/>
    <d v="2026-04-24T00:00:00"/>
    <d v="2026-04-26T00:00:00"/>
    <d v="2026-05-02T00:00:00"/>
    <s v="Chennai"/>
    <s v="Bangalore"/>
    <x v="1"/>
    <n v="1651"/>
    <x v="0"/>
    <n v="4"/>
    <n v="9906"/>
    <n v="5"/>
    <x v="27"/>
    <n v="8"/>
    <n v="4.3"/>
    <x v="0"/>
    <s v="High"/>
    <s v="Good"/>
    <n v="3"/>
    <n v="6"/>
    <x v="3"/>
    <s v="Delayed"/>
    <s v="Corporate"/>
    <s v="Clothing"/>
    <s v="Medium"/>
    <n v="4.0999999999999996"/>
    <n v="6"/>
    <s v="Yes"/>
    <s v="Needs Improvement"/>
  </r>
  <r>
    <s v="SHP1333"/>
    <d v="2026-03-23T00:00:00"/>
    <d v="2026-03-23T00:00:00"/>
    <d v="2026-03-28T00:00:00"/>
    <s v="Delhi"/>
    <s v="Mumbai"/>
    <x v="0"/>
    <n v="1511"/>
    <x v="2"/>
    <n v="5"/>
    <n v="12088"/>
    <n v="5"/>
    <x v="26"/>
    <n v="5"/>
    <n v="4"/>
    <x v="3"/>
    <s v="Low"/>
    <s v="Good"/>
    <n v="3"/>
    <n v="5"/>
    <x v="2"/>
    <s v="Delayed"/>
    <s v="Retail"/>
    <s v="Food"/>
    <s v="High"/>
    <n v="4.0999999999999996"/>
    <n v="8"/>
    <s v="Yes"/>
    <s v="Needs Improvement"/>
  </r>
  <r>
    <s v="SHP1334"/>
    <d v="2026-01-04T00:00:00"/>
    <d v="2026-01-04T00:00:00"/>
    <d v="2026-01-10T00:00:00"/>
    <s v="Chennai"/>
    <s v="Bangalore"/>
    <x v="1"/>
    <n v="876"/>
    <x v="0"/>
    <n v="8"/>
    <n v="7884"/>
    <n v="5"/>
    <x v="12"/>
    <n v="3"/>
    <n v="4"/>
    <x v="2"/>
    <s v="High"/>
    <s v="Average"/>
    <n v="1"/>
    <n v="6"/>
    <x v="5"/>
    <s v="Delayed"/>
    <s v="Corporate"/>
    <s v="Machinery"/>
    <s v="Medium"/>
    <n v="4.0999999999999996"/>
    <n v="9"/>
    <s v="Yes"/>
    <s v="Needs Improvement"/>
  </r>
  <r>
    <s v="SHP1335"/>
    <d v="2026-03-28T00:00:00"/>
    <d v="2026-03-29T00:00:00"/>
    <d v="2026-04-03T00:00:00"/>
    <s v="Delhi"/>
    <s v="Mumbai"/>
    <x v="0"/>
    <n v="626"/>
    <x v="0"/>
    <n v="6"/>
    <n v="3756"/>
    <n v="6"/>
    <x v="1"/>
    <n v="14"/>
    <n v="3.1"/>
    <x v="2"/>
    <s v="High"/>
    <s v="Poor"/>
    <n v="1"/>
    <n v="5"/>
    <x v="4"/>
    <s v="Delayed"/>
    <s v="Retail"/>
    <s v="Furniture"/>
    <s v="High"/>
    <n v="3.2"/>
    <n v="6"/>
    <s v="Yes"/>
    <s v="Needs Improvement"/>
  </r>
  <r>
    <s v="SHP1336"/>
    <d v="2026-04-11T00:00:00"/>
    <d v="2026-04-12T00:00:00"/>
    <d v="2026-04-17T00:00:00"/>
    <s v="Ahmedabad"/>
    <s v="Jaipur"/>
    <x v="2"/>
    <n v="1653"/>
    <x v="3"/>
    <n v="5"/>
    <n v="14877"/>
    <n v="5"/>
    <x v="32"/>
    <n v="15"/>
    <n v="3.5"/>
    <x v="2"/>
    <s v="Medium"/>
    <s v="Good"/>
    <n v="3"/>
    <n v="5"/>
    <x v="2"/>
    <s v="Delayed"/>
    <s v="Corporate"/>
    <s v="Electronics"/>
    <s v="Medium"/>
    <n v="4.5999999999999996"/>
    <n v="9"/>
    <s v="Yes"/>
    <s v="Needs Improvement"/>
  </r>
  <r>
    <s v="SHP1337"/>
    <d v="2026-04-10T00:00:00"/>
    <d v="2026-04-10T00:00:00"/>
    <d v="2026-04-14T00:00:00"/>
    <s v="Bhopal"/>
    <s v="Pune"/>
    <x v="4"/>
    <n v="1108"/>
    <x v="3"/>
    <n v="8"/>
    <n v="11080"/>
    <n v="6"/>
    <x v="34"/>
    <n v="6"/>
    <n v="4.8"/>
    <x v="3"/>
    <s v="Medium"/>
    <s v="Good"/>
    <n v="2"/>
    <n v="4"/>
    <x v="2"/>
    <s v="Delayed"/>
    <s v="Wholesale"/>
    <s v="Furniture"/>
    <s v="Low"/>
    <n v="4.4000000000000004"/>
    <n v="10"/>
    <s v="Yes"/>
    <s v="Needs Improvement"/>
  </r>
  <r>
    <s v="SHP1338"/>
    <d v="2026-02-28T00:00:00"/>
    <d v="2026-03-01T00:00:00"/>
    <d v="2026-03-04T00:00:00"/>
    <s v="Bhopal"/>
    <s v="Pune"/>
    <x v="4"/>
    <n v="208"/>
    <x v="0"/>
    <n v="1"/>
    <n v="2288"/>
    <n v="9"/>
    <x v="18"/>
    <n v="6"/>
    <n v="3.9"/>
    <x v="0"/>
    <s v="Low"/>
    <s v="Poor"/>
    <n v="1"/>
    <n v="3"/>
    <x v="2"/>
    <s v="Delayed"/>
    <s v="Wholesale"/>
    <s v="Clothing"/>
    <s v="Low"/>
    <n v="4.2"/>
    <n v="11"/>
    <s v="Yes"/>
    <s v="Needs Improvement"/>
  </r>
  <r>
    <s v="SHP1339"/>
    <d v="2026-02-09T00:00:00"/>
    <d v="2026-02-11T00:00:00"/>
    <d v="2026-02-12T00:00:00"/>
    <s v="Chennai"/>
    <s v="Bangalore"/>
    <x v="1"/>
    <n v="857"/>
    <x v="2"/>
    <n v="4"/>
    <n v="6856"/>
    <n v="7"/>
    <x v="2"/>
    <n v="6"/>
    <n v="4.5"/>
    <x v="0"/>
    <s v="Medium"/>
    <s v="Good"/>
    <n v="1"/>
    <n v="1"/>
    <x v="0"/>
    <s v="On Time"/>
    <s v="Retail"/>
    <s v="Electronics"/>
    <s v="Low"/>
    <n v="4.9000000000000004"/>
    <n v="8"/>
    <s v="No"/>
    <s v="Efficient"/>
  </r>
  <r>
    <s v="SHP1340"/>
    <d v="2026-03-13T00:00:00"/>
    <d v="2026-03-15T00:00:00"/>
    <d v="2026-03-18T00:00:00"/>
    <s v="Bhopal"/>
    <s v="Pune"/>
    <x v="4"/>
    <n v="623"/>
    <x v="0"/>
    <n v="9"/>
    <n v="4984"/>
    <n v="7"/>
    <x v="5"/>
    <n v="12"/>
    <n v="4.5999999999999996"/>
    <x v="1"/>
    <s v="Low"/>
    <s v="Good"/>
    <n v="1"/>
    <n v="3"/>
    <x v="2"/>
    <s v="Delayed"/>
    <s v="Wholesale"/>
    <s v="Food"/>
    <s v="Low"/>
    <n v="3.3"/>
    <n v="8"/>
    <s v="Yes"/>
    <s v="Needs Improvement"/>
  </r>
  <r>
    <s v="SHP1341"/>
    <d v="2026-03-02T00:00:00"/>
    <d v="2026-03-04T00:00:00"/>
    <d v="2026-03-06T00:00:00"/>
    <s v="Delhi"/>
    <s v="Mumbai"/>
    <x v="0"/>
    <n v="416"/>
    <x v="1"/>
    <n v="1"/>
    <n v="2496"/>
    <n v="8"/>
    <x v="41"/>
    <n v="3"/>
    <n v="4.4000000000000004"/>
    <x v="2"/>
    <s v="High"/>
    <s v="Average"/>
    <n v="1"/>
    <n v="2"/>
    <x v="1"/>
    <s v="Delayed"/>
    <s v="Wholesale"/>
    <s v="Machinery"/>
    <s v="Low"/>
    <n v="4.9000000000000004"/>
    <n v="6"/>
    <s v="Yes"/>
    <s v="Needs Improvement"/>
  </r>
  <r>
    <s v="SHP1342"/>
    <d v="2026-04-07T00:00:00"/>
    <d v="2026-04-08T00:00:00"/>
    <d v="2026-04-09T00:00:00"/>
    <s v="Indore"/>
    <s v="Hyderabad"/>
    <x v="5"/>
    <n v="390"/>
    <x v="1"/>
    <n v="2"/>
    <n v="3510"/>
    <n v="7"/>
    <x v="23"/>
    <n v="11"/>
    <n v="4.4000000000000004"/>
    <x v="2"/>
    <s v="Medium"/>
    <s v="Good"/>
    <n v="1"/>
    <n v="1"/>
    <x v="0"/>
    <s v="On Time"/>
    <s v="Wholesale"/>
    <s v="Clothing"/>
    <s v="Medium"/>
    <n v="3.8"/>
    <n v="9"/>
    <s v="No"/>
    <s v="Efficient"/>
  </r>
  <r>
    <s v="SHP1343"/>
    <d v="2026-03-31T00:00:00"/>
    <d v="2026-04-02T00:00:00"/>
    <d v="2026-04-04T00:00:00"/>
    <s v="Ahmedabad"/>
    <s v="Jaipur"/>
    <x v="2"/>
    <n v="865"/>
    <x v="1"/>
    <n v="8"/>
    <n v="5190"/>
    <n v="5"/>
    <x v="20"/>
    <n v="2"/>
    <n v="3.7"/>
    <x v="2"/>
    <s v="Low"/>
    <s v="Average"/>
    <n v="1"/>
    <n v="2"/>
    <x v="1"/>
    <s v="Delayed"/>
    <s v="Wholesale"/>
    <s v="Electronics"/>
    <s v="Medium"/>
    <n v="4.5999999999999996"/>
    <n v="6"/>
    <s v="Yes"/>
    <s v="Needs Improvement"/>
  </r>
  <r>
    <s v="SHP1344"/>
    <d v="2026-04-12T00:00:00"/>
    <d v="2026-04-12T00:00:00"/>
    <d v="2026-04-14T00:00:00"/>
    <s v="Ahmedabad"/>
    <s v="Jaipur"/>
    <x v="2"/>
    <n v="1338"/>
    <x v="3"/>
    <n v="5"/>
    <n v="13380"/>
    <n v="8"/>
    <x v="41"/>
    <n v="10"/>
    <n v="3.8"/>
    <x v="1"/>
    <s v="High"/>
    <s v="Good"/>
    <n v="2"/>
    <n v="2"/>
    <x v="0"/>
    <s v="On Time"/>
    <s v="Retail"/>
    <s v="Furniture"/>
    <s v="High"/>
    <n v="4.2"/>
    <n v="10"/>
    <s v="No"/>
    <s v="Efficient"/>
  </r>
  <r>
    <s v="SHP1345"/>
    <d v="2026-04-11T00:00:00"/>
    <d v="2026-04-12T00:00:00"/>
    <d v="2026-04-17T00:00:00"/>
    <s v="Ahmedabad"/>
    <s v="Jaipur"/>
    <x v="2"/>
    <n v="1315"/>
    <x v="2"/>
    <n v="3"/>
    <n v="14465"/>
    <n v="10"/>
    <x v="35"/>
    <n v="12"/>
    <n v="4.9000000000000004"/>
    <x v="2"/>
    <s v="Low"/>
    <s v="Poor"/>
    <n v="2"/>
    <n v="5"/>
    <x v="3"/>
    <s v="Delayed"/>
    <s v="Retail"/>
    <s v="Machinery"/>
    <s v="Low"/>
    <n v="4.5999999999999996"/>
    <n v="11"/>
    <s v="Yes"/>
    <s v="Needs Improvement"/>
  </r>
  <r>
    <s v="SHP1346"/>
    <d v="2026-01-23T00:00:00"/>
    <d v="2026-01-24T00:00:00"/>
    <d v="2026-01-25T00:00:00"/>
    <s v="Lucknow"/>
    <s v="Delhi"/>
    <x v="7"/>
    <n v="342"/>
    <x v="3"/>
    <n v="10"/>
    <n v="4104"/>
    <n v="8"/>
    <x v="44"/>
    <n v="8"/>
    <n v="4.3"/>
    <x v="0"/>
    <s v="Low"/>
    <s v="Good"/>
    <n v="1"/>
    <n v="1"/>
    <x v="0"/>
    <s v="On Time"/>
    <s v="Wholesale"/>
    <s v="Electronics"/>
    <s v="Low"/>
    <n v="4.3"/>
    <n v="12"/>
    <s v="No"/>
    <s v="Efficient"/>
  </r>
  <r>
    <s v="SHP1347"/>
    <d v="2026-02-27T00:00:00"/>
    <d v="2026-03-01T00:00:00"/>
    <d v="2026-03-03T00:00:00"/>
    <s v="Kolkata"/>
    <s v="Patna"/>
    <x v="3"/>
    <n v="998"/>
    <x v="1"/>
    <n v="4"/>
    <n v="6986"/>
    <n v="10"/>
    <x v="44"/>
    <n v="5"/>
    <n v="4.0999999999999996"/>
    <x v="3"/>
    <s v="Medium"/>
    <s v="Poor"/>
    <n v="2"/>
    <n v="2"/>
    <x v="0"/>
    <s v="On Time"/>
    <s v="Wholesale"/>
    <s v="Electronics"/>
    <s v="High"/>
    <n v="5"/>
    <n v="7"/>
    <s v="No"/>
    <s v="Efficient"/>
  </r>
  <r>
    <s v="SHP1348"/>
    <d v="2026-02-21T00:00:00"/>
    <d v="2026-02-21T00:00:00"/>
    <d v="2026-02-22T00:00:00"/>
    <s v="Kolkata"/>
    <s v="Patna"/>
    <x v="3"/>
    <n v="327"/>
    <x v="0"/>
    <n v="9"/>
    <n v="1962"/>
    <n v="5"/>
    <x v="47"/>
    <n v="9"/>
    <n v="4.5999999999999996"/>
    <x v="3"/>
    <s v="Low"/>
    <s v="Average"/>
    <n v="1"/>
    <n v="1"/>
    <x v="0"/>
    <s v="On Time"/>
    <s v="Retail"/>
    <s v="Machinery"/>
    <s v="Medium"/>
    <n v="4.3"/>
    <n v="6"/>
    <s v="No"/>
    <s v="Efficient"/>
  </r>
  <r>
    <s v="SHP1349"/>
    <d v="2026-04-02T00:00:00"/>
    <d v="2026-04-03T00:00:00"/>
    <d v="2026-04-06T00:00:00"/>
    <s v="Lucknow"/>
    <s v="Delhi"/>
    <x v="7"/>
    <n v="981"/>
    <x v="1"/>
    <n v="9"/>
    <n v="6867"/>
    <n v="10"/>
    <x v="49"/>
    <n v="8"/>
    <n v="3.3"/>
    <x v="2"/>
    <s v="Medium"/>
    <s v="Average"/>
    <n v="2"/>
    <n v="3"/>
    <x v="1"/>
    <s v="Delayed"/>
    <s v="Wholesale"/>
    <s v="Furniture"/>
    <s v="Low"/>
    <n v="3"/>
    <n v="7"/>
    <s v="Yes"/>
    <s v="Needs Improvement"/>
  </r>
  <r>
    <s v="SHP1350"/>
    <d v="2026-03-24T00:00:00"/>
    <d v="2026-03-24T00:00:00"/>
    <d v="2026-03-28T00:00:00"/>
    <s v="Indore"/>
    <s v="Hyderabad"/>
    <x v="5"/>
    <n v="1677"/>
    <x v="1"/>
    <n v="7"/>
    <n v="11739"/>
    <n v="5"/>
    <x v="31"/>
    <n v="11"/>
    <n v="4.5999999999999996"/>
    <x v="2"/>
    <s v="High"/>
    <s v="Poor"/>
    <n v="3"/>
    <n v="4"/>
    <x v="1"/>
    <s v="Delayed"/>
    <s v="Retail"/>
    <s v="Machinery"/>
    <s v="Medium"/>
    <n v="4.0999999999999996"/>
    <n v="7"/>
    <s v="Yes"/>
    <s v="Needs Improvement"/>
  </r>
  <r>
    <s v="SHP1351"/>
    <d v="2026-02-27T00:00:00"/>
    <d v="2026-02-28T00:00:00"/>
    <d v="2026-03-05T00:00:00"/>
    <s v="Ahmedabad"/>
    <s v="Jaipur"/>
    <x v="2"/>
    <n v="662"/>
    <x v="2"/>
    <n v="7"/>
    <n v="6620"/>
    <n v="5"/>
    <x v="16"/>
    <n v="8"/>
    <n v="4.7"/>
    <x v="1"/>
    <s v="High"/>
    <s v="Poor"/>
    <n v="1"/>
    <n v="5"/>
    <x v="4"/>
    <s v="Delayed"/>
    <s v="Wholesale"/>
    <s v="Clothing"/>
    <s v="Low"/>
    <n v="5"/>
    <n v="10"/>
    <s v="Yes"/>
    <s v="Needs Improvement"/>
  </r>
  <r>
    <s v="SHP1352"/>
    <d v="2026-03-14T00:00:00"/>
    <d v="2026-03-15T00:00:00"/>
    <d v="2026-03-18T00:00:00"/>
    <s v="Ahmedabad"/>
    <s v="Jaipur"/>
    <x v="2"/>
    <n v="431"/>
    <x v="1"/>
    <n v="2"/>
    <n v="3017"/>
    <n v="10"/>
    <x v="7"/>
    <n v="9"/>
    <n v="5"/>
    <x v="3"/>
    <s v="Medium"/>
    <s v="Poor"/>
    <n v="1"/>
    <n v="3"/>
    <x v="2"/>
    <s v="Delayed"/>
    <s v="Wholesale"/>
    <s v="Electronics"/>
    <s v="Low"/>
    <n v="3.9"/>
    <n v="7"/>
    <s v="Yes"/>
    <s v="Needs Improvement"/>
  </r>
  <r>
    <s v="SHP1353"/>
    <d v="2026-04-05T00:00:00"/>
    <d v="2026-04-07T00:00:00"/>
    <d v="2026-04-12T00:00:00"/>
    <s v="Bhopal"/>
    <s v="Pune"/>
    <x v="4"/>
    <n v="1600"/>
    <x v="0"/>
    <n v="10"/>
    <n v="9600"/>
    <n v="7"/>
    <x v="2"/>
    <n v="13"/>
    <n v="3"/>
    <x v="2"/>
    <s v="High"/>
    <s v="Average"/>
    <n v="3"/>
    <n v="5"/>
    <x v="2"/>
    <s v="Delayed"/>
    <s v="Retail"/>
    <s v="Clothing"/>
    <s v="Low"/>
    <n v="3.1"/>
    <n v="6"/>
    <s v="Yes"/>
    <s v="Needs Improvement"/>
  </r>
  <r>
    <s v="SHP1354"/>
    <d v="2026-04-29T00:00:00"/>
    <d v="2026-05-01T00:00:00"/>
    <d v="2026-05-07T00:00:00"/>
    <s v="Kolkata"/>
    <s v="Patna"/>
    <x v="3"/>
    <n v="1688"/>
    <x v="0"/>
    <n v="1"/>
    <n v="18568"/>
    <n v="8"/>
    <x v="30"/>
    <n v="3"/>
    <n v="4.0999999999999996"/>
    <x v="3"/>
    <s v="High"/>
    <s v="Poor"/>
    <n v="3"/>
    <n v="6"/>
    <x v="3"/>
    <s v="Delayed"/>
    <s v="Corporate"/>
    <s v="Furniture"/>
    <s v="High"/>
    <n v="3.2"/>
    <n v="11"/>
    <s v="Yes"/>
    <s v="Needs Improvement"/>
  </r>
  <r>
    <s v="SHP1355"/>
    <d v="2026-04-11T00:00:00"/>
    <d v="2026-04-12T00:00:00"/>
    <d v="2026-04-16T00:00:00"/>
    <s v="Kolkata"/>
    <s v="Patna"/>
    <x v="3"/>
    <n v="471"/>
    <x v="0"/>
    <n v="5"/>
    <n v="5652"/>
    <n v="7"/>
    <x v="33"/>
    <n v="12"/>
    <n v="3.2"/>
    <x v="1"/>
    <s v="High"/>
    <s v="Poor"/>
    <n v="1"/>
    <n v="4"/>
    <x v="3"/>
    <s v="Delayed"/>
    <s v="Retail"/>
    <s v="Furniture"/>
    <s v="Medium"/>
    <n v="4.5999999999999996"/>
    <n v="12"/>
    <s v="Yes"/>
    <s v="Needs Improvement"/>
  </r>
  <r>
    <s v="SHP1356"/>
    <d v="2026-01-31T00:00:00"/>
    <d v="2026-02-01T00:00:00"/>
    <d v="2026-02-04T00:00:00"/>
    <s v="Indore"/>
    <s v="Hyderabad"/>
    <x v="5"/>
    <n v="1280"/>
    <x v="3"/>
    <n v="6"/>
    <n v="7680"/>
    <n v="6"/>
    <x v="48"/>
    <n v="15"/>
    <n v="4.5999999999999996"/>
    <x v="2"/>
    <s v="Medium"/>
    <s v="Average"/>
    <n v="2"/>
    <n v="3"/>
    <x v="1"/>
    <s v="Delayed"/>
    <s v="Wholesale"/>
    <s v="Furniture"/>
    <s v="Low"/>
    <n v="4.2"/>
    <n v="6"/>
    <s v="Yes"/>
    <s v="Needs Improvement"/>
  </r>
  <r>
    <s v="SHP1357"/>
    <d v="2026-04-18T00:00:00"/>
    <d v="2026-04-19T00:00:00"/>
    <d v="2026-04-25T00:00:00"/>
    <s v="Delhi"/>
    <s v="Mumbai"/>
    <x v="0"/>
    <n v="1515"/>
    <x v="0"/>
    <n v="2"/>
    <n v="9090"/>
    <n v="6"/>
    <x v="3"/>
    <n v="7"/>
    <n v="4"/>
    <x v="2"/>
    <s v="High"/>
    <s v="Poor"/>
    <n v="3"/>
    <n v="6"/>
    <x v="3"/>
    <s v="Delayed"/>
    <s v="Retail"/>
    <s v="Clothing"/>
    <s v="Low"/>
    <n v="4.0999999999999996"/>
    <n v="6"/>
    <s v="Yes"/>
    <s v="Needs Improvement"/>
  </r>
  <r>
    <s v="SHP1358"/>
    <d v="2026-02-25T00:00:00"/>
    <d v="2026-02-25T00:00:00"/>
    <d v="2026-03-01T00:00:00"/>
    <s v="Kolkata"/>
    <s v="Patna"/>
    <x v="3"/>
    <n v="1119"/>
    <x v="1"/>
    <n v="6"/>
    <n v="11190"/>
    <n v="10"/>
    <x v="37"/>
    <n v="2"/>
    <n v="4.8"/>
    <x v="3"/>
    <s v="Medium"/>
    <s v="Poor"/>
    <n v="2"/>
    <n v="4"/>
    <x v="2"/>
    <s v="Delayed"/>
    <s v="Retail"/>
    <s v="Clothing"/>
    <s v="Medium"/>
    <n v="4.5999999999999996"/>
    <n v="10"/>
    <s v="Yes"/>
    <s v="Needs Improvement"/>
  </r>
  <r>
    <s v="SHP1359"/>
    <d v="2026-02-02T00:00:00"/>
    <d v="2026-02-04T00:00:00"/>
    <d v="2026-02-06T00:00:00"/>
    <s v="Lucknow"/>
    <s v="Delhi"/>
    <x v="7"/>
    <n v="1144"/>
    <x v="2"/>
    <n v="10"/>
    <n v="13728"/>
    <n v="6"/>
    <x v="9"/>
    <n v="6"/>
    <n v="4.4000000000000004"/>
    <x v="1"/>
    <s v="Medium"/>
    <s v="Poor"/>
    <n v="2"/>
    <n v="2"/>
    <x v="0"/>
    <s v="On Time"/>
    <s v="Corporate"/>
    <s v="Electronics"/>
    <s v="Medium"/>
    <n v="3.2"/>
    <n v="12"/>
    <s v="No"/>
    <s v="Efficient"/>
  </r>
  <r>
    <s v="SHP1360"/>
    <d v="2026-01-14T00:00:00"/>
    <d v="2026-01-16T00:00:00"/>
    <d v="2026-01-18T00:00:00"/>
    <s v="Nagpur"/>
    <s v="Surat"/>
    <x v="6"/>
    <n v="919"/>
    <x v="2"/>
    <n v="5"/>
    <n v="7352"/>
    <n v="6"/>
    <x v="37"/>
    <n v="1"/>
    <n v="4.2"/>
    <x v="0"/>
    <s v="High"/>
    <s v="Poor"/>
    <n v="2"/>
    <n v="2"/>
    <x v="0"/>
    <s v="On Time"/>
    <s v="Wholesale"/>
    <s v="Electronics"/>
    <s v="Low"/>
    <n v="4.7"/>
    <n v="8"/>
    <s v="No"/>
    <s v="Efficient"/>
  </r>
  <r>
    <s v="SHP1361"/>
    <d v="2026-01-17T00:00:00"/>
    <d v="2026-01-18T00:00:00"/>
    <d v="2026-01-21T00:00:00"/>
    <s v="Indore"/>
    <s v="Hyderabad"/>
    <x v="5"/>
    <n v="427"/>
    <x v="2"/>
    <n v="5"/>
    <n v="3416"/>
    <n v="8"/>
    <x v="15"/>
    <n v="15"/>
    <n v="3.2"/>
    <x v="2"/>
    <s v="Medium"/>
    <s v="Average"/>
    <n v="1"/>
    <n v="3"/>
    <x v="2"/>
    <s v="Delayed"/>
    <s v="Retail"/>
    <s v="Furniture"/>
    <s v="Low"/>
    <n v="3.6"/>
    <n v="8"/>
    <s v="Yes"/>
    <s v="Needs Improvement"/>
  </r>
  <r>
    <s v="SHP1362"/>
    <d v="2026-01-08T00:00:00"/>
    <d v="2026-01-09T00:00:00"/>
    <d v="2026-01-13T00:00:00"/>
    <s v="Lucknow"/>
    <s v="Delhi"/>
    <x v="7"/>
    <n v="881"/>
    <x v="3"/>
    <n v="5"/>
    <n v="10572"/>
    <n v="7"/>
    <x v="49"/>
    <n v="8"/>
    <n v="3.1"/>
    <x v="1"/>
    <s v="High"/>
    <s v="Average"/>
    <n v="1"/>
    <n v="4"/>
    <x v="3"/>
    <s v="Delayed"/>
    <s v="Corporate"/>
    <s v="Furniture"/>
    <s v="High"/>
    <n v="4.5"/>
    <n v="12"/>
    <s v="Yes"/>
    <s v="Needs Improvement"/>
  </r>
  <r>
    <s v="SHP1363"/>
    <d v="2026-01-28T00:00:00"/>
    <d v="2026-01-30T00:00:00"/>
    <d v="2026-02-01T00:00:00"/>
    <s v="Bhopal"/>
    <s v="Pune"/>
    <x v="4"/>
    <n v="1104"/>
    <x v="0"/>
    <n v="2"/>
    <n v="6624"/>
    <n v="5"/>
    <x v="35"/>
    <n v="10"/>
    <n v="4.5"/>
    <x v="2"/>
    <s v="Low"/>
    <s v="Average"/>
    <n v="2"/>
    <n v="2"/>
    <x v="0"/>
    <s v="On Time"/>
    <s v="Corporate"/>
    <s v="Food"/>
    <s v="Medium"/>
    <n v="3.3"/>
    <n v="6"/>
    <s v="No"/>
    <s v="Efficient"/>
  </r>
  <r>
    <s v="SHP1364"/>
    <d v="2026-02-12T00:00:00"/>
    <d v="2026-02-13T00:00:00"/>
    <d v="2026-02-18T00:00:00"/>
    <s v="Delhi"/>
    <s v="Mumbai"/>
    <x v="0"/>
    <n v="1255"/>
    <x v="1"/>
    <n v="8"/>
    <n v="11295"/>
    <n v="8"/>
    <x v="7"/>
    <n v="13"/>
    <n v="4.5999999999999996"/>
    <x v="0"/>
    <s v="High"/>
    <s v="Good"/>
    <n v="2"/>
    <n v="5"/>
    <x v="3"/>
    <s v="Delayed"/>
    <s v="Wholesale"/>
    <s v="Food"/>
    <s v="Low"/>
    <n v="4.0999999999999996"/>
    <n v="9"/>
    <s v="Yes"/>
    <s v="Needs Improvement"/>
  </r>
  <r>
    <s v="SHP1365"/>
    <d v="2026-04-30T00:00:00"/>
    <d v="2026-05-01T00:00:00"/>
    <d v="2026-05-06T00:00:00"/>
    <s v="Ahmedabad"/>
    <s v="Jaipur"/>
    <x v="2"/>
    <n v="1596"/>
    <x v="0"/>
    <n v="7"/>
    <n v="9576"/>
    <n v="10"/>
    <x v="12"/>
    <n v="2"/>
    <n v="3.7"/>
    <x v="3"/>
    <s v="Low"/>
    <s v="Average"/>
    <n v="3"/>
    <n v="5"/>
    <x v="2"/>
    <s v="Delayed"/>
    <s v="Corporate"/>
    <s v="Furniture"/>
    <s v="High"/>
    <n v="3.1"/>
    <n v="6"/>
    <s v="Yes"/>
    <s v="Needs Improvement"/>
  </r>
  <r>
    <s v="SHP1366"/>
    <d v="2026-02-19T00:00:00"/>
    <d v="2026-02-21T00:00:00"/>
    <d v="2026-02-22T00:00:00"/>
    <s v="Chennai"/>
    <s v="Bangalore"/>
    <x v="1"/>
    <n v="812"/>
    <x v="1"/>
    <n v="2"/>
    <n v="8932"/>
    <n v="10"/>
    <x v="38"/>
    <n v="8"/>
    <n v="3.2"/>
    <x v="2"/>
    <s v="High"/>
    <s v="Good"/>
    <n v="1"/>
    <n v="1"/>
    <x v="0"/>
    <s v="On Time"/>
    <s v="Corporate"/>
    <s v="Machinery"/>
    <s v="Low"/>
    <n v="4"/>
    <n v="11"/>
    <s v="No"/>
    <s v="Efficient"/>
  </r>
  <r>
    <s v="SHP1367"/>
    <d v="2026-01-09T00:00:00"/>
    <d v="2026-01-11T00:00:00"/>
    <d v="2026-01-13T00:00:00"/>
    <s v="Kolkata"/>
    <s v="Patna"/>
    <x v="3"/>
    <n v="1223"/>
    <x v="1"/>
    <n v="1"/>
    <n v="7338"/>
    <n v="7"/>
    <x v="42"/>
    <n v="6"/>
    <n v="4.5999999999999996"/>
    <x v="0"/>
    <s v="Medium"/>
    <s v="Good"/>
    <n v="2"/>
    <n v="2"/>
    <x v="0"/>
    <s v="On Time"/>
    <s v="Wholesale"/>
    <s v="Machinery"/>
    <s v="Medium"/>
    <n v="4.9000000000000004"/>
    <n v="6"/>
    <s v="No"/>
    <s v="Efficient"/>
  </r>
  <r>
    <s v="SHP1368"/>
    <d v="2026-04-22T00:00:00"/>
    <d v="2026-04-24T00:00:00"/>
    <d v="2026-04-28T00:00:00"/>
    <s v="Indore"/>
    <s v="Hyderabad"/>
    <x v="5"/>
    <n v="1717"/>
    <x v="2"/>
    <n v="2"/>
    <n v="10302"/>
    <n v="10"/>
    <x v="5"/>
    <n v="8"/>
    <n v="4.3"/>
    <x v="2"/>
    <s v="High"/>
    <s v="Good"/>
    <n v="3"/>
    <n v="4"/>
    <x v="1"/>
    <s v="Delayed"/>
    <s v="Corporate"/>
    <s v="Furniture"/>
    <s v="High"/>
    <n v="3.1"/>
    <n v="6"/>
    <s v="Yes"/>
    <s v="Needs Improvement"/>
  </r>
  <r>
    <s v="SHP1369"/>
    <d v="2026-02-09T00:00:00"/>
    <d v="2026-02-09T00:00:00"/>
    <d v="2026-02-14T00:00:00"/>
    <s v="Nagpur"/>
    <s v="Surat"/>
    <x v="6"/>
    <n v="1451"/>
    <x v="2"/>
    <n v="10"/>
    <n v="8706"/>
    <n v="5"/>
    <x v="21"/>
    <n v="8"/>
    <n v="4.2"/>
    <x v="1"/>
    <s v="Low"/>
    <s v="Good"/>
    <n v="3"/>
    <n v="5"/>
    <x v="2"/>
    <s v="Delayed"/>
    <s v="Wholesale"/>
    <s v="Food"/>
    <s v="Medium"/>
    <n v="3.2"/>
    <n v="6"/>
    <s v="Yes"/>
    <s v="Needs Improvement"/>
  </r>
  <r>
    <s v="SHP1370"/>
    <d v="2026-03-29T00:00:00"/>
    <d v="2026-03-31T00:00:00"/>
    <d v="2026-04-03T00:00:00"/>
    <s v="Indore"/>
    <s v="Hyderabad"/>
    <x v="5"/>
    <n v="858"/>
    <x v="2"/>
    <n v="1"/>
    <n v="8580"/>
    <n v="6"/>
    <x v="29"/>
    <n v="2"/>
    <n v="3.2"/>
    <x v="1"/>
    <s v="Medium"/>
    <s v="Good"/>
    <n v="1"/>
    <n v="3"/>
    <x v="2"/>
    <s v="Delayed"/>
    <s v="Wholesale"/>
    <s v="Furniture"/>
    <s v="Medium"/>
    <n v="3.5"/>
    <n v="10"/>
    <s v="Yes"/>
    <s v="Needs Improvement"/>
  </r>
  <r>
    <s v="SHP1371"/>
    <d v="2026-03-16T00:00:00"/>
    <d v="2026-03-16T00:00:00"/>
    <d v="2026-03-20T00:00:00"/>
    <s v="Indore"/>
    <s v="Hyderabad"/>
    <x v="5"/>
    <n v="404"/>
    <x v="1"/>
    <n v="3"/>
    <n v="2424"/>
    <n v="8"/>
    <x v="18"/>
    <n v="1"/>
    <n v="3"/>
    <x v="0"/>
    <s v="High"/>
    <s v="Poor"/>
    <n v="1"/>
    <n v="4"/>
    <x v="3"/>
    <s v="Delayed"/>
    <s v="Wholesale"/>
    <s v="Food"/>
    <s v="High"/>
    <n v="3.3"/>
    <n v="6"/>
    <s v="Yes"/>
    <s v="Needs Improvement"/>
  </r>
  <r>
    <s v="SHP1372"/>
    <d v="2026-01-19T00:00:00"/>
    <d v="2026-01-21T00:00:00"/>
    <d v="2026-01-25T00:00:00"/>
    <s v="Kolkata"/>
    <s v="Patna"/>
    <x v="3"/>
    <n v="1271"/>
    <x v="1"/>
    <n v="7"/>
    <n v="8897"/>
    <n v="6"/>
    <x v="28"/>
    <n v="12"/>
    <n v="3.1"/>
    <x v="1"/>
    <s v="High"/>
    <s v="Average"/>
    <n v="2"/>
    <n v="4"/>
    <x v="2"/>
    <s v="Delayed"/>
    <s v="Retail"/>
    <s v="Food"/>
    <s v="Low"/>
    <n v="4.0999999999999996"/>
    <n v="7"/>
    <s v="Yes"/>
    <s v="Needs Improvement"/>
  </r>
  <r>
    <s v="SHP1373"/>
    <d v="2026-01-25T00:00:00"/>
    <d v="2026-01-25T00:00:00"/>
    <d v="2026-01-28T00:00:00"/>
    <s v="Bhopal"/>
    <s v="Pune"/>
    <x v="4"/>
    <n v="1467"/>
    <x v="0"/>
    <n v="9"/>
    <n v="14670"/>
    <n v="6"/>
    <x v="3"/>
    <n v="13"/>
    <n v="4.3"/>
    <x v="1"/>
    <s v="Medium"/>
    <s v="Good"/>
    <n v="3"/>
    <n v="3"/>
    <x v="0"/>
    <s v="On Time"/>
    <s v="Corporate"/>
    <s v="Food"/>
    <s v="Medium"/>
    <n v="3.4"/>
    <n v="10"/>
    <s v="No"/>
    <s v="Efficient"/>
  </r>
  <r>
    <s v="SHP1374"/>
    <d v="2026-03-27T00:00:00"/>
    <d v="2026-03-27T00:00:00"/>
    <d v="2026-03-30T00:00:00"/>
    <s v="Delhi"/>
    <s v="Mumbai"/>
    <x v="0"/>
    <n v="1520"/>
    <x v="0"/>
    <n v="5"/>
    <n v="10640"/>
    <n v="8"/>
    <x v="46"/>
    <n v="6"/>
    <n v="4.2"/>
    <x v="2"/>
    <s v="Low"/>
    <s v="Good"/>
    <n v="3"/>
    <n v="3"/>
    <x v="0"/>
    <s v="On Time"/>
    <s v="Wholesale"/>
    <s v="Furniture"/>
    <s v="Low"/>
    <n v="4.5999999999999996"/>
    <n v="7"/>
    <s v="No"/>
    <s v="Efficient"/>
  </r>
  <r>
    <s v="SHP1375"/>
    <d v="2026-03-04T00:00:00"/>
    <d v="2026-03-06T00:00:00"/>
    <d v="2026-03-08T00:00:00"/>
    <s v="Bhopal"/>
    <s v="Pune"/>
    <x v="4"/>
    <n v="345"/>
    <x v="2"/>
    <n v="8"/>
    <n v="3450"/>
    <n v="9"/>
    <x v="44"/>
    <n v="7"/>
    <n v="3.4"/>
    <x v="3"/>
    <s v="Low"/>
    <s v="Good"/>
    <n v="1"/>
    <n v="2"/>
    <x v="1"/>
    <s v="Delayed"/>
    <s v="Corporate"/>
    <s v="Furniture"/>
    <s v="High"/>
    <n v="3.8"/>
    <n v="10"/>
    <s v="Yes"/>
    <s v="Needs Improvement"/>
  </r>
  <r>
    <s v="SHP1376"/>
    <d v="2026-01-26T00:00:00"/>
    <d v="2026-01-27T00:00:00"/>
    <d v="2026-01-29T00:00:00"/>
    <s v="Chennai"/>
    <s v="Bangalore"/>
    <x v="1"/>
    <n v="350"/>
    <x v="1"/>
    <n v="10"/>
    <n v="3150"/>
    <n v="5"/>
    <x v="22"/>
    <n v="3"/>
    <n v="3.4"/>
    <x v="2"/>
    <s v="Low"/>
    <s v="Average"/>
    <n v="1"/>
    <n v="2"/>
    <x v="1"/>
    <s v="Delayed"/>
    <s v="Retail"/>
    <s v="Furniture"/>
    <s v="High"/>
    <n v="3.7"/>
    <n v="9"/>
    <s v="Yes"/>
    <s v="Needs Improvement"/>
  </r>
  <r>
    <s v="SHP1377"/>
    <d v="2026-02-04T00:00:00"/>
    <d v="2026-02-04T00:00:00"/>
    <d v="2026-02-06T00:00:00"/>
    <s v="Ahmedabad"/>
    <s v="Jaipur"/>
    <x v="2"/>
    <n v="460"/>
    <x v="3"/>
    <n v="10"/>
    <n v="2760"/>
    <n v="7"/>
    <x v="31"/>
    <n v="2"/>
    <n v="4.7"/>
    <x v="2"/>
    <s v="Medium"/>
    <s v="Good"/>
    <n v="1"/>
    <n v="2"/>
    <x v="1"/>
    <s v="Delayed"/>
    <s v="Retail"/>
    <s v="Machinery"/>
    <s v="Low"/>
    <n v="4.5999999999999996"/>
    <n v="6"/>
    <s v="Yes"/>
    <s v="Needs Improvement"/>
  </r>
  <r>
    <s v="SHP1378"/>
    <d v="2026-03-23T00:00:00"/>
    <d v="2026-03-25T00:00:00"/>
    <d v="2026-03-29T00:00:00"/>
    <s v="Indore"/>
    <s v="Hyderabad"/>
    <x v="5"/>
    <n v="1383"/>
    <x v="2"/>
    <n v="2"/>
    <n v="12447"/>
    <n v="9"/>
    <x v="32"/>
    <n v="14"/>
    <n v="5"/>
    <x v="2"/>
    <s v="Medium"/>
    <s v="Average"/>
    <n v="3"/>
    <n v="4"/>
    <x v="1"/>
    <s v="Delayed"/>
    <s v="Wholesale"/>
    <s v="Furniture"/>
    <s v="Low"/>
    <n v="3.7"/>
    <n v="9"/>
    <s v="Yes"/>
    <s v="Needs Improvement"/>
  </r>
  <r>
    <s v="SHP1379"/>
    <d v="2026-03-16T00:00:00"/>
    <d v="2026-03-16T00:00:00"/>
    <d v="2026-03-20T00:00:00"/>
    <s v="Indore"/>
    <s v="Hyderabad"/>
    <x v="5"/>
    <n v="1374"/>
    <x v="3"/>
    <n v="7"/>
    <n v="8244"/>
    <n v="5"/>
    <x v="20"/>
    <n v="12"/>
    <n v="4.5"/>
    <x v="0"/>
    <s v="Medium"/>
    <s v="Poor"/>
    <n v="3"/>
    <n v="4"/>
    <x v="1"/>
    <s v="Delayed"/>
    <s v="Retail"/>
    <s v="Electronics"/>
    <s v="Medium"/>
    <n v="4"/>
    <n v="6"/>
    <s v="Yes"/>
    <s v="Needs Improvement"/>
  </r>
  <r>
    <s v="SHP1380"/>
    <d v="2026-01-11T00:00:00"/>
    <d v="2026-01-13T00:00:00"/>
    <d v="2026-01-17T00:00:00"/>
    <s v="Delhi"/>
    <s v="Mumbai"/>
    <x v="0"/>
    <n v="1619"/>
    <x v="1"/>
    <n v="4"/>
    <n v="11333"/>
    <n v="7"/>
    <x v="13"/>
    <n v="4"/>
    <n v="4.3"/>
    <x v="0"/>
    <s v="Low"/>
    <s v="Average"/>
    <n v="3"/>
    <n v="4"/>
    <x v="1"/>
    <s v="Delayed"/>
    <s v="Corporate"/>
    <s v="Food"/>
    <s v="High"/>
    <n v="4.5"/>
    <n v="7"/>
    <s v="Yes"/>
    <s v="Needs Improvement"/>
  </r>
  <r>
    <s v="SHP1381"/>
    <d v="2026-01-04T00:00:00"/>
    <d v="2026-01-05T00:00:00"/>
    <d v="2026-01-10T00:00:00"/>
    <s v="Nagpur"/>
    <s v="Surat"/>
    <x v="6"/>
    <n v="1780"/>
    <x v="2"/>
    <n v="7"/>
    <n v="12460"/>
    <n v="7"/>
    <x v="43"/>
    <n v="8"/>
    <n v="4.4000000000000004"/>
    <x v="0"/>
    <s v="High"/>
    <s v="Good"/>
    <n v="3"/>
    <n v="5"/>
    <x v="2"/>
    <s v="Delayed"/>
    <s v="Wholesale"/>
    <s v="Electronics"/>
    <s v="Medium"/>
    <n v="3.9"/>
    <n v="7"/>
    <s v="Yes"/>
    <s v="Needs Improvement"/>
  </r>
  <r>
    <s v="SHP1382"/>
    <d v="2026-02-04T00:00:00"/>
    <d v="2026-02-06T00:00:00"/>
    <d v="2026-02-11T00:00:00"/>
    <s v="Chennai"/>
    <s v="Bangalore"/>
    <x v="1"/>
    <n v="1602"/>
    <x v="3"/>
    <n v="10"/>
    <n v="12816"/>
    <n v="10"/>
    <x v="42"/>
    <n v="9"/>
    <n v="4.9000000000000004"/>
    <x v="3"/>
    <s v="Low"/>
    <s v="Good"/>
    <n v="3"/>
    <n v="5"/>
    <x v="2"/>
    <s v="Delayed"/>
    <s v="Retail"/>
    <s v="Machinery"/>
    <s v="Low"/>
    <n v="3.7"/>
    <n v="8"/>
    <s v="Yes"/>
    <s v="Needs Improvement"/>
  </r>
  <r>
    <s v="SHP1383"/>
    <d v="2026-01-23T00:00:00"/>
    <d v="2026-01-25T00:00:00"/>
    <d v="2026-01-29T00:00:00"/>
    <s v="Bhopal"/>
    <s v="Pune"/>
    <x v="4"/>
    <n v="1348"/>
    <x v="2"/>
    <n v="3"/>
    <n v="10784"/>
    <n v="6"/>
    <x v="2"/>
    <n v="2"/>
    <n v="4.3"/>
    <x v="1"/>
    <s v="High"/>
    <s v="Good"/>
    <n v="2"/>
    <n v="4"/>
    <x v="2"/>
    <s v="Delayed"/>
    <s v="Wholesale"/>
    <s v="Food"/>
    <s v="Medium"/>
    <n v="3.1"/>
    <n v="8"/>
    <s v="Yes"/>
    <s v="Needs Improvement"/>
  </r>
  <r>
    <s v="SHP1384"/>
    <d v="2026-02-17T00:00:00"/>
    <d v="2026-02-18T00:00:00"/>
    <d v="2026-02-20T00:00:00"/>
    <s v="Nagpur"/>
    <s v="Surat"/>
    <x v="6"/>
    <n v="1195"/>
    <x v="3"/>
    <n v="8"/>
    <n v="13145"/>
    <n v="9"/>
    <x v="23"/>
    <n v="14"/>
    <n v="4.0999999999999996"/>
    <x v="3"/>
    <s v="Medium"/>
    <s v="Poor"/>
    <n v="2"/>
    <n v="2"/>
    <x v="0"/>
    <s v="On Time"/>
    <s v="Corporate"/>
    <s v="Food"/>
    <s v="Low"/>
    <n v="3.2"/>
    <n v="11"/>
    <s v="No"/>
    <s v="Efficient"/>
  </r>
  <r>
    <s v="SHP1385"/>
    <d v="2026-04-25T00:00:00"/>
    <d v="2026-04-25T00:00:00"/>
    <d v="2026-04-29T00:00:00"/>
    <s v="Kolkata"/>
    <s v="Patna"/>
    <x v="3"/>
    <n v="357"/>
    <x v="3"/>
    <n v="3"/>
    <n v="2856"/>
    <n v="5"/>
    <x v="4"/>
    <n v="3"/>
    <n v="4"/>
    <x v="1"/>
    <s v="High"/>
    <s v="Poor"/>
    <n v="1"/>
    <n v="4"/>
    <x v="3"/>
    <s v="Delayed"/>
    <s v="Wholesale"/>
    <s v="Machinery"/>
    <s v="Low"/>
    <n v="3.9"/>
    <n v="8"/>
    <s v="Yes"/>
    <s v="Needs Improvement"/>
  </r>
  <r>
    <s v="SHP1386"/>
    <d v="2026-02-23T00:00:00"/>
    <d v="2026-02-24T00:00:00"/>
    <d v="2026-03-01T00:00:00"/>
    <s v="Delhi"/>
    <s v="Mumbai"/>
    <x v="0"/>
    <n v="797"/>
    <x v="2"/>
    <n v="2"/>
    <n v="4782"/>
    <n v="6"/>
    <x v="9"/>
    <n v="11"/>
    <n v="3.7"/>
    <x v="3"/>
    <s v="High"/>
    <s v="Poor"/>
    <n v="1"/>
    <n v="5"/>
    <x v="4"/>
    <s v="Delayed"/>
    <s v="Wholesale"/>
    <s v="Machinery"/>
    <s v="High"/>
    <n v="3.9"/>
    <n v="6"/>
    <s v="Yes"/>
    <s v="Needs Improvement"/>
  </r>
  <r>
    <s v="SHP1387"/>
    <d v="2026-02-08T00:00:00"/>
    <d v="2026-02-10T00:00:00"/>
    <d v="2026-02-12T00:00:00"/>
    <s v="Indore"/>
    <s v="Hyderabad"/>
    <x v="5"/>
    <n v="827"/>
    <x v="2"/>
    <n v="5"/>
    <n v="5789"/>
    <n v="8"/>
    <x v="8"/>
    <n v="5"/>
    <n v="4.5"/>
    <x v="0"/>
    <s v="Low"/>
    <s v="Average"/>
    <n v="1"/>
    <n v="2"/>
    <x v="1"/>
    <s v="Delayed"/>
    <s v="Retail"/>
    <s v="Furniture"/>
    <s v="High"/>
    <n v="4.8"/>
    <n v="7"/>
    <s v="Yes"/>
    <s v="Needs Improvement"/>
  </r>
  <r>
    <s v="SHP1388"/>
    <d v="2026-04-02T00:00:00"/>
    <d v="2026-04-04T00:00:00"/>
    <d v="2026-04-05T00:00:00"/>
    <s v="Kolkata"/>
    <s v="Patna"/>
    <x v="3"/>
    <n v="573"/>
    <x v="2"/>
    <n v="3"/>
    <n v="4011"/>
    <n v="6"/>
    <x v="21"/>
    <n v="1"/>
    <n v="5"/>
    <x v="1"/>
    <s v="Medium"/>
    <s v="Average"/>
    <n v="1"/>
    <n v="1"/>
    <x v="0"/>
    <s v="On Time"/>
    <s v="Corporate"/>
    <s v="Machinery"/>
    <s v="High"/>
    <n v="3.1"/>
    <n v="7"/>
    <s v="No"/>
    <s v="Efficient"/>
  </r>
  <r>
    <s v="SHP1389"/>
    <d v="2026-02-10T00:00:00"/>
    <d v="2026-02-11T00:00:00"/>
    <d v="2026-02-15T00:00:00"/>
    <s v="Indore"/>
    <s v="Hyderabad"/>
    <x v="5"/>
    <n v="963"/>
    <x v="1"/>
    <n v="9"/>
    <n v="6741"/>
    <n v="9"/>
    <x v="26"/>
    <n v="2"/>
    <n v="4.8"/>
    <x v="2"/>
    <s v="Medium"/>
    <s v="Good"/>
    <n v="2"/>
    <n v="4"/>
    <x v="2"/>
    <s v="Delayed"/>
    <s v="Corporate"/>
    <s v="Electronics"/>
    <s v="High"/>
    <n v="4.0999999999999996"/>
    <n v="7"/>
    <s v="Yes"/>
    <s v="Needs Improvement"/>
  </r>
  <r>
    <s v="SHP1390"/>
    <d v="2026-03-06T00:00:00"/>
    <d v="2026-03-07T00:00:00"/>
    <d v="2026-03-12T00:00:00"/>
    <s v="Kolkata"/>
    <s v="Patna"/>
    <x v="3"/>
    <n v="1170"/>
    <x v="0"/>
    <n v="10"/>
    <n v="12870"/>
    <n v="6"/>
    <x v="16"/>
    <n v="12"/>
    <n v="4.8"/>
    <x v="2"/>
    <s v="Medium"/>
    <s v="Poor"/>
    <n v="2"/>
    <n v="5"/>
    <x v="3"/>
    <s v="Delayed"/>
    <s v="Corporate"/>
    <s v="Furniture"/>
    <s v="High"/>
    <n v="4.0999999999999996"/>
    <n v="11"/>
    <s v="Yes"/>
    <s v="Needs Improvement"/>
  </r>
  <r>
    <s v="SHP1391"/>
    <d v="2026-02-09T00:00:00"/>
    <d v="2026-02-09T00:00:00"/>
    <d v="2026-02-13T00:00:00"/>
    <s v="Lucknow"/>
    <s v="Delhi"/>
    <x v="7"/>
    <n v="1464"/>
    <x v="2"/>
    <n v="8"/>
    <n v="11712"/>
    <n v="5"/>
    <x v="44"/>
    <n v="1"/>
    <n v="4.2"/>
    <x v="1"/>
    <s v="High"/>
    <s v="Poor"/>
    <n v="3"/>
    <n v="4"/>
    <x v="1"/>
    <s v="Delayed"/>
    <s v="Corporate"/>
    <s v="Electronics"/>
    <s v="High"/>
    <n v="4.7"/>
    <n v="8"/>
    <s v="Yes"/>
    <s v="Needs Improvement"/>
  </r>
  <r>
    <s v="SHP1392"/>
    <d v="2026-03-28T00:00:00"/>
    <d v="2026-03-30T00:00:00"/>
    <d v="2026-04-02T00:00:00"/>
    <s v="Bhopal"/>
    <s v="Pune"/>
    <x v="4"/>
    <n v="1248"/>
    <x v="1"/>
    <n v="4"/>
    <n v="11232"/>
    <n v="7"/>
    <x v="48"/>
    <n v="10"/>
    <n v="4"/>
    <x v="0"/>
    <s v="High"/>
    <s v="Average"/>
    <n v="2"/>
    <n v="3"/>
    <x v="1"/>
    <s v="Delayed"/>
    <s v="Wholesale"/>
    <s v="Food"/>
    <s v="Medium"/>
    <n v="3.8"/>
    <n v="9"/>
    <s v="Yes"/>
    <s v="Needs Improvement"/>
  </r>
  <r>
    <s v="SHP1393"/>
    <d v="2026-01-02T00:00:00"/>
    <d v="2026-01-03T00:00:00"/>
    <d v="2026-01-06T00:00:00"/>
    <s v="Ahmedabad"/>
    <s v="Jaipur"/>
    <x v="2"/>
    <n v="919"/>
    <x v="0"/>
    <n v="8"/>
    <n v="11028"/>
    <n v="9"/>
    <x v="18"/>
    <n v="4"/>
    <n v="4.5"/>
    <x v="2"/>
    <s v="High"/>
    <s v="Average"/>
    <n v="2"/>
    <n v="3"/>
    <x v="1"/>
    <s v="Delayed"/>
    <s v="Wholesale"/>
    <s v="Food"/>
    <s v="High"/>
    <n v="4.8"/>
    <n v="12"/>
    <s v="Yes"/>
    <s v="Needs Improvement"/>
  </r>
  <r>
    <s v="SHP1394"/>
    <d v="2026-01-18T00:00:00"/>
    <d v="2026-01-20T00:00:00"/>
    <d v="2026-01-23T00:00:00"/>
    <s v="Bhopal"/>
    <s v="Pune"/>
    <x v="4"/>
    <n v="494"/>
    <x v="2"/>
    <n v="5"/>
    <n v="4446"/>
    <n v="9"/>
    <x v="29"/>
    <n v="2"/>
    <n v="4.9000000000000004"/>
    <x v="2"/>
    <s v="Low"/>
    <s v="Good"/>
    <n v="1"/>
    <n v="3"/>
    <x v="2"/>
    <s v="Delayed"/>
    <s v="Retail"/>
    <s v="Food"/>
    <s v="Low"/>
    <n v="4.0999999999999996"/>
    <n v="9"/>
    <s v="Yes"/>
    <s v="Needs Improvement"/>
  </r>
  <r>
    <s v="SHP1395"/>
    <d v="2026-04-01T00:00:00"/>
    <d v="2026-04-03T00:00:00"/>
    <d v="2026-04-09T00:00:00"/>
    <s v="Indore"/>
    <s v="Hyderabad"/>
    <x v="5"/>
    <n v="608"/>
    <x v="2"/>
    <n v="7"/>
    <n v="4864"/>
    <n v="9"/>
    <x v="32"/>
    <n v="1"/>
    <n v="4.5999999999999996"/>
    <x v="3"/>
    <s v="High"/>
    <s v="Average"/>
    <n v="1"/>
    <n v="6"/>
    <x v="5"/>
    <s v="Delayed"/>
    <s v="Retail"/>
    <s v="Furniture"/>
    <s v="Low"/>
    <n v="4.5999999999999996"/>
    <n v="8"/>
    <s v="Yes"/>
    <s v="Needs Improvement"/>
  </r>
  <r>
    <s v="SHP1396"/>
    <d v="2026-01-20T00:00:00"/>
    <d v="2026-01-21T00:00:00"/>
    <d v="2026-01-25T00:00:00"/>
    <s v="Kolkata"/>
    <s v="Patna"/>
    <x v="3"/>
    <n v="1511"/>
    <x v="1"/>
    <n v="2"/>
    <n v="16621"/>
    <n v="10"/>
    <x v="13"/>
    <n v="7"/>
    <n v="3.4"/>
    <x v="1"/>
    <s v="Low"/>
    <s v="Good"/>
    <n v="3"/>
    <n v="4"/>
    <x v="1"/>
    <s v="Delayed"/>
    <s v="Corporate"/>
    <s v="Machinery"/>
    <s v="High"/>
    <n v="3.7"/>
    <n v="11"/>
    <s v="Yes"/>
    <s v="Needs Improvement"/>
  </r>
  <r>
    <s v="SHP1397"/>
    <d v="2026-03-03T00:00:00"/>
    <d v="2026-03-05T00:00:00"/>
    <d v="2026-03-06T00:00:00"/>
    <s v="Lucknow"/>
    <s v="Delhi"/>
    <x v="7"/>
    <n v="728"/>
    <x v="1"/>
    <n v="2"/>
    <n v="5824"/>
    <n v="9"/>
    <x v="7"/>
    <n v="10"/>
    <n v="3"/>
    <x v="3"/>
    <s v="Low"/>
    <s v="Poor"/>
    <n v="1"/>
    <n v="1"/>
    <x v="0"/>
    <s v="On Time"/>
    <s v="Retail"/>
    <s v="Food"/>
    <s v="High"/>
    <n v="3.3"/>
    <n v="8"/>
    <s v="No"/>
    <s v="Efficient"/>
  </r>
  <r>
    <s v="SHP1398"/>
    <d v="2026-01-21T00:00:00"/>
    <d v="2026-01-21T00:00:00"/>
    <d v="2026-01-23T00:00:00"/>
    <s v="Kolkata"/>
    <s v="Patna"/>
    <x v="3"/>
    <n v="939"/>
    <x v="1"/>
    <n v="6"/>
    <n v="5634"/>
    <n v="7"/>
    <x v="13"/>
    <n v="9"/>
    <n v="4.3"/>
    <x v="0"/>
    <s v="High"/>
    <s v="Good"/>
    <n v="2"/>
    <n v="2"/>
    <x v="0"/>
    <s v="On Time"/>
    <s v="Wholesale"/>
    <s v="Furniture"/>
    <s v="High"/>
    <n v="3.6"/>
    <n v="6"/>
    <s v="No"/>
    <s v="Efficient"/>
  </r>
  <r>
    <s v="SHP1399"/>
    <d v="2026-02-10T00:00:00"/>
    <d v="2026-02-12T00:00:00"/>
    <d v="2026-02-16T00:00:00"/>
    <s v="Kolkata"/>
    <s v="Patna"/>
    <x v="3"/>
    <n v="755"/>
    <x v="0"/>
    <n v="2"/>
    <n v="7550"/>
    <n v="9"/>
    <x v="38"/>
    <n v="14"/>
    <n v="3.3"/>
    <x v="1"/>
    <s v="High"/>
    <s v="Average"/>
    <n v="1"/>
    <n v="4"/>
    <x v="3"/>
    <s v="Delayed"/>
    <s v="Retail"/>
    <s v="Furniture"/>
    <s v="Low"/>
    <n v="3.4"/>
    <n v="10"/>
    <s v="Yes"/>
    <s v="Needs Improvement"/>
  </r>
  <r>
    <s v="SHP1400"/>
    <d v="2026-03-06T00:00:00"/>
    <d v="2026-03-06T00:00:00"/>
    <d v="2026-03-09T00:00:00"/>
    <s v="Chennai"/>
    <s v="Bangalore"/>
    <x v="1"/>
    <n v="1344"/>
    <x v="3"/>
    <n v="7"/>
    <n v="12096"/>
    <n v="5"/>
    <x v="21"/>
    <n v="14"/>
    <n v="3.3"/>
    <x v="0"/>
    <s v="Medium"/>
    <s v="Average"/>
    <n v="2"/>
    <n v="3"/>
    <x v="1"/>
    <s v="Delayed"/>
    <s v="Wholesale"/>
    <s v="Clothing"/>
    <s v="Low"/>
    <n v="4.5999999999999996"/>
    <n v="9"/>
    <s v="Yes"/>
    <s v="Needs Improvement"/>
  </r>
  <r>
    <s v="SHP1401"/>
    <d v="2026-04-24T00:00:00"/>
    <d v="2026-04-26T00:00:00"/>
    <d v="2026-04-28T00:00:00"/>
    <s v="Ahmedabad"/>
    <s v="Jaipur"/>
    <x v="2"/>
    <n v="552"/>
    <x v="0"/>
    <n v="1"/>
    <n v="6072"/>
    <n v="5"/>
    <x v="45"/>
    <n v="3"/>
    <n v="4.7"/>
    <x v="1"/>
    <s v="High"/>
    <s v="Good"/>
    <n v="1"/>
    <n v="2"/>
    <x v="1"/>
    <s v="Delayed"/>
    <s v="Corporate"/>
    <s v="Electronics"/>
    <s v="Medium"/>
    <n v="4.4000000000000004"/>
    <n v="11"/>
    <s v="Yes"/>
    <s v="Needs Improvement"/>
  </r>
  <r>
    <s v="SHP1402"/>
    <d v="2026-04-11T00:00:00"/>
    <d v="2026-04-11T00:00:00"/>
    <d v="2026-04-13T00:00:00"/>
    <s v="Bhopal"/>
    <s v="Pune"/>
    <x v="4"/>
    <n v="238"/>
    <x v="1"/>
    <n v="7"/>
    <n v="1428"/>
    <n v="6"/>
    <x v="17"/>
    <n v="1"/>
    <n v="4.5999999999999996"/>
    <x v="0"/>
    <s v="Medium"/>
    <s v="Good"/>
    <n v="1"/>
    <n v="2"/>
    <x v="1"/>
    <s v="Delayed"/>
    <s v="Corporate"/>
    <s v="Electronics"/>
    <s v="Medium"/>
    <n v="4.3"/>
    <n v="6"/>
    <s v="Yes"/>
    <s v="Needs Improvement"/>
  </r>
  <r>
    <s v="SHP1403"/>
    <d v="2026-04-07T00:00:00"/>
    <d v="2026-04-07T00:00:00"/>
    <d v="2026-04-11T00:00:00"/>
    <s v="Bhopal"/>
    <s v="Pune"/>
    <x v="4"/>
    <n v="1432"/>
    <x v="2"/>
    <n v="10"/>
    <n v="10024"/>
    <n v="6"/>
    <x v="15"/>
    <n v="6"/>
    <n v="3.1"/>
    <x v="1"/>
    <s v="High"/>
    <s v="Average"/>
    <n v="3"/>
    <n v="4"/>
    <x v="1"/>
    <s v="Delayed"/>
    <s v="Wholesale"/>
    <s v="Machinery"/>
    <s v="Low"/>
    <n v="4"/>
    <n v="7"/>
    <s v="Yes"/>
    <s v="Needs Improvement"/>
  </r>
  <r>
    <s v="SHP1404"/>
    <d v="2026-01-09T00:00:00"/>
    <d v="2026-01-09T00:00:00"/>
    <d v="2026-01-13T00:00:00"/>
    <s v="Delhi"/>
    <s v="Mumbai"/>
    <x v="0"/>
    <n v="1283"/>
    <x v="2"/>
    <n v="4"/>
    <n v="10264"/>
    <n v="6"/>
    <x v="40"/>
    <n v="9"/>
    <n v="3"/>
    <x v="0"/>
    <s v="Low"/>
    <s v="Poor"/>
    <n v="2"/>
    <n v="4"/>
    <x v="2"/>
    <s v="Delayed"/>
    <s v="Retail"/>
    <s v="Clothing"/>
    <s v="High"/>
    <n v="4.2"/>
    <n v="8"/>
    <s v="Yes"/>
    <s v="Needs Improvement"/>
  </r>
  <r>
    <s v="SHP1405"/>
    <d v="2026-02-26T00:00:00"/>
    <d v="2026-02-28T00:00:00"/>
    <d v="2026-03-01T00:00:00"/>
    <s v="Bhopal"/>
    <s v="Pune"/>
    <x v="4"/>
    <n v="570"/>
    <x v="0"/>
    <n v="7"/>
    <n v="5130"/>
    <n v="6"/>
    <x v="39"/>
    <n v="4"/>
    <n v="3.8"/>
    <x v="3"/>
    <s v="Low"/>
    <s v="Average"/>
    <n v="1"/>
    <n v="1"/>
    <x v="0"/>
    <s v="On Time"/>
    <s v="Retail"/>
    <s v="Clothing"/>
    <s v="High"/>
    <n v="3.6"/>
    <n v="9"/>
    <s v="No"/>
    <s v="Efficient"/>
  </r>
  <r>
    <s v="SHP1406"/>
    <d v="2026-04-03T00:00:00"/>
    <d v="2026-04-03T00:00:00"/>
    <d v="2026-04-06T00:00:00"/>
    <s v="Bhopal"/>
    <s v="Pune"/>
    <x v="4"/>
    <n v="871"/>
    <x v="1"/>
    <n v="2"/>
    <n v="7839"/>
    <n v="7"/>
    <x v="3"/>
    <n v="10"/>
    <n v="4.5"/>
    <x v="2"/>
    <s v="Low"/>
    <s v="Poor"/>
    <n v="1"/>
    <n v="3"/>
    <x v="2"/>
    <s v="Delayed"/>
    <s v="Retail"/>
    <s v="Furniture"/>
    <s v="Low"/>
    <n v="4.8"/>
    <n v="9"/>
    <s v="Yes"/>
    <s v="Needs Improvement"/>
  </r>
  <r>
    <s v="SHP1407"/>
    <d v="2026-04-13T00:00:00"/>
    <d v="2026-04-14T00:00:00"/>
    <d v="2026-04-16T00:00:00"/>
    <s v="Ahmedabad"/>
    <s v="Jaipur"/>
    <x v="2"/>
    <n v="567"/>
    <x v="3"/>
    <n v="8"/>
    <n v="6237"/>
    <n v="5"/>
    <x v="41"/>
    <n v="8"/>
    <n v="4"/>
    <x v="0"/>
    <s v="Low"/>
    <s v="Good"/>
    <n v="1"/>
    <n v="2"/>
    <x v="1"/>
    <s v="Delayed"/>
    <s v="Retail"/>
    <s v="Machinery"/>
    <s v="Low"/>
    <n v="4.5"/>
    <n v="11"/>
    <s v="Yes"/>
    <s v="Needs Improvement"/>
  </r>
  <r>
    <s v="SHP1408"/>
    <d v="2026-04-25T00:00:00"/>
    <d v="2026-04-25T00:00:00"/>
    <d v="2026-05-01T00:00:00"/>
    <s v="Bhopal"/>
    <s v="Pune"/>
    <x v="4"/>
    <n v="944"/>
    <x v="2"/>
    <n v="6"/>
    <n v="6608"/>
    <n v="9"/>
    <x v="41"/>
    <n v="2"/>
    <n v="3.5"/>
    <x v="2"/>
    <s v="High"/>
    <s v="Average"/>
    <n v="2"/>
    <n v="6"/>
    <x v="4"/>
    <s v="Delayed"/>
    <s v="Wholesale"/>
    <s v="Clothing"/>
    <s v="High"/>
    <n v="4.9000000000000004"/>
    <n v="7"/>
    <s v="Yes"/>
    <s v="Needs Improvement"/>
  </r>
  <r>
    <s v="SHP1409"/>
    <d v="2026-02-15T00:00:00"/>
    <d v="2026-02-16T00:00:00"/>
    <d v="2026-02-18T00:00:00"/>
    <s v="Lucknow"/>
    <s v="Delhi"/>
    <x v="7"/>
    <n v="1192"/>
    <x v="0"/>
    <n v="3"/>
    <n v="14304"/>
    <n v="8"/>
    <x v="17"/>
    <n v="2"/>
    <n v="3.5"/>
    <x v="2"/>
    <s v="Low"/>
    <s v="Poor"/>
    <n v="2"/>
    <n v="2"/>
    <x v="0"/>
    <s v="On Time"/>
    <s v="Corporate"/>
    <s v="Electronics"/>
    <s v="Low"/>
    <n v="4"/>
    <n v="12"/>
    <s v="No"/>
    <s v="Efficient"/>
  </r>
  <r>
    <s v="SHP1410"/>
    <d v="2026-01-04T00:00:00"/>
    <d v="2026-01-04T00:00:00"/>
    <d v="2026-01-09T00:00:00"/>
    <s v="Lucknow"/>
    <s v="Delhi"/>
    <x v="7"/>
    <n v="1438"/>
    <x v="0"/>
    <n v="3"/>
    <n v="11504"/>
    <n v="9"/>
    <x v="28"/>
    <n v="2"/>
    <n v="4.5"/>
    <x v="2"/>
    <s v="Medium"/>
    <s v="Good"/>
    <n v="3"/>
    <n v="5"/>
    <x v="2"/>
    <s v="Delayed"/>
    <s v="Retail"/>
    <s v="Food"/>
    <s v="High"/>
    <n v="3.5"/>
    <n v="8"/>
    <s v="Yes"/>
    <s v="Needs Improvement"/>
  </r>
  <r>
    <s v="SHP1411"/>
    <d v="2026-02-13T00:00:00"/>
    <d v="2026-02-15T00:00:00"/>
    <d v="2026-02-18T00:00:00"/>
    <s v="Delhi"/>
    <s v="Mumbai"/>
    <x v="0"/>
    <n v="1764"/>
    <x v="3"/>
    <n v="7"/>
    <n v="10584"/>
    <n v="8"/>
    <x v="25"/>
    <n v="6"/>
    <n v="4.7"/>
    <x v="2"/>
    <s v="Medium"/>
    <s v="Good"/>
    <n v="3"/>
    <n v="3"/>
    <x v="0"/>
    <s v="On Time"/>
    <s v="Wholesale"/>
    <s v="Clothing"/>
    <s v="High"/>
    <n v="3.3"/>
    <n v="6"/>
    <s v="No"/>
    <s v="Efficient"/>
  </r>
  <r>
    <s v="SHP1412"/>
    <d v="2026-02-25T00:00:00"/>
    <d v="2026-02-25T00:00:00"/>
    <d v="2026-02-28T00:00:00"/>
    <s v="Kolkata"/>
    <s v="Patna"/>
    <x v="3"/>
    <n v="1665"/>
    <x v="1"/>
    <n v="8"/>
    <n v="19980"/>
    <n v="5"/>
    <x v="16"/>
    <n v="11"/>
    <n v="4"/>
    <x v="2"/>
    <s v="Medium"/>
    <s v="Poor"/>
    <n v="3"/>
    <n v="3"/>
    <x v="0"/>
    <s v="On Time"/>
    <s v="Retail"/>
    <s v="Clothing"/>
    <s v="Medium"/>
    <n v="4.2"/>
    <n v="12"/>
    <s v="No"/>
    <s v="Efficient"/>
  </r>
  <r>
    <s v="SHP1413"/>
    <d v="2026-02-18T00:00:00"/>
    <d v="2026-02-20T00:00:00"/>
    <d v="2026-02-23T00:00:00"/>
    <s v="Ahmedabad"/>
    <s v="Jaipur"/>
    <x v="2"/>
    <n v="1769"/>
    <x v="0"/>
    <n v="6"/>
    <n v="10614"/>
    <n v="5"/>
    <x v="30"/>
    <n v="1"/>
    <n v="3.3"/>
    <x v="3"/>
    <s v="Medium"/>
    <s v="Poor"/>
    <n v="3"/>
    <n v="3"/>
    <x v="0"/>
    <s v="On Time"/>
    <s v="Wholesale"/>
    <s v="Clothing"/>
    <s v="Medium"/>
    <n v="3.2"/>
    <n v="6"/>
    <s v="No"/>
    <s v="Efficient"/>
  </r>
  <r>
    <s v="SHP1414"/>
    <d v="2026-02-14T00:00:00"/>
    <d v="2026-02-15T00:00:00"/>
    <d v="2026-02-18T00:00:00"/>
    <s v="Lucknow"/>
    <s v="Delhi"/>
    <x v="7"/>
    <n v="919"/>
    <x v="3"/>
    <n v="4"/>
    <n v="6433"/>
    <n v="6"/>
    <x v="12"/>
    <n v="5"/>
    <n v="4.2"/>
    <x v="0"/>
    <s v="Medium"/>
    <s v="Good"/>
    <n v="2"/>
    <n v="3"/>
    <x v="1"/>
    <s v="Delayed"/>
    <s v="Corporate"/>
    <s v="Electronics"/>
    <s v="High"/>
    <n v="3.7"/>
    <n v="7"/>
    <s v="Yes"/>
    <s v="Needs Improvement"/>
  </r>
  <r>
    <s v="SHP1415"/>
    <d v="2026-02-28T00:00:00"/>
    <d v="2026-03-02T00:00:00"/>
    <d v="2026-03-07T00:00:00"/>
    <s v="Lucknow"/>
    <s v="Delhi"/>
    <x v="7"/>
    <n v="1363"/>
    <x v="1"/>
    <n v="5"/>
    <n v="8178"/>
    <n v="10"/>
    <x v="20"/>
    <n v="10"/>
    <n v="3"/>
    <x v="3"/>
    <s v="Medium"/>
    <s v="Poor"/>
    <n v="3"/>
    <n v="5"/>
    <x v="2"/>
    <s v="Delayed"/>
    <s v="Wholesale"/>
    <s v="Electronics"/>
    <s v="Medium"/>
    <n v="3.2"/>
    <n v="6"/>
    <s v="Yes"/>
    <s v="Needs Improvement"/>
  </r>
  <r>
    <s v="SHP1416"/>
    <d v="2026-03-28T00:00:00"/>
    <d v="2026-03-28T00:00:00"/>
    <d v="2026-04-01T00:00:00"/>
    <s v="Ahmedabad"/>
    <s v="Jaipur"/>
    <x v="2"/>
    <n v="1217"/>
    <x v="0"/>
    <n v="3"/>
    <n v="12170"/>
    <n v="7"/>
    <x v="8"/>
    <n v="7"/>
    <n v="3.4"/>
    <x v="0"/>
    <s v="High"/>
    <s v="Good"/>
    <n v="2"/>
    <n v="4"/>
    <x v="2"/>
    <s v="Delayed"/>
    <s v="Corporate"/>
    <s v="Clothing"/>
    <s v="High"/>
    <n v="3.8"/>
    <n v="10"/>
    <s v="Yes"/>
    <s v="Needs Improvement"/>
  </r>
  <r>
    <s v="SHP1417"/>
    <d v="2026-01-29T00:00:00"/>
    <d v="2026-01-31T00:00:00"/>
    <d v="2026-02-03T00:00:00"/>
    <s v="Bhopal"/>
    <s v="Pune"/>
    <x v="4"/>
    <n v="1669"/>
    <x v="3"/>
    <n v="10"/>
    <n v="13352"/>
    <n v="7"/>
    <x v="35"/>
    <n v="10"/>
    <n v="4.5999999999999996"/>
    <x v="2"/>
    <s v="Medium"/>
    <s v="Good"/>
    <n v="3"/>
    <n v="3"/>
    <x v="0"/>
    <s v="On Time"/>
    <s v="Wholesale"/>
    <s v="Clothing"/>
    <s v="High"/>
    <n v="4.5999999999999996"/>
    <n v="8"/>
    <s v="No"/>
    <s v="Efficient"/>
  </r>
  <r>
    <s v="SHP1418"/>
    <d v="2026-02-25T00:00:00"/>
    <d v="2026-02-27T00:00:00"/>
    <d v="2026-03-04T00:00:00"/>
    <s v="Ahmedabad"/>
    <s v="Jaipur"/>
    <x v="2"/>
    <n v="609"/>
    <x v="1"/>
    <n v="7"/>
    <n v="4872"/>
    <n v="9"/>
    <x v="39"/>
    <n v="8"/>
    <n v="4.3"/>
    <x v="1"/>
    <s v="Low"/>
    <s v="Poor"/>
    <n v="1"/>
    <n v="5"/>
    <x v="4"/>
    <s v="Delayed"/>
    <s v="Corporate"/>
    <s v="Machinery"/>
    <s v="Medium"/>
    <n v="3.4"/>
    <n v="8"/>
    <s v="Yes"/>
    <s v="Needs Improvement"/>
  </r>
  <r>
    <s v="SHP1419"/>
    <d v="2026-04-16T00:00:00"/>
    <d v="2026-04-18T00:00:00"/>
    <d v="2026-04-21T00:00:00"/>
    <s v="Nagpur"/>
    <s v="Surat"/>
    <x v="6"/>
    <n v="748"/>
    <x v="1"/>
    <n v="10"/>
    <n v="8228"/>
    <n v="10"/>
    <x v="42"/>
    <n v="9"/>
    <n v="3.4"/>
    <x v="2"/>
    <s v="Low"/>
    <s v="Good"/>
    <n v="1"/>
    <n v="3"/>
    <x v="2"/>
    <s v="Delayed"/>
    <s v="Wholesale"/>
    <s v="Clothing"/>
    <s v="Medium"/>
    <n v="3.8"/>
    <n v="11"/>
    <s v="Yes"/>
    <s v="Needs Improvement"/>
  </r>
  <r>
    <s v="SHP1420"/>
    <d v="2026-04-21T00:00:00"/>
    <d v="2026-04-21T00:00:00"/>
    <d v="2026-04-23T00:00:00"/>
    <s v="Chennai"/>
    <s v="Bangalore"/>
    <x v="1"/>
    <n v="1044"/>
    <x v="0"/>
    <n v="5"/>
    <n v="11484"/>
    <n v="6"/>
    <x v="46"/>
    <n v="11"/>
    <n v="4.2"/>
    <x v="2"/>
    <s v="Low"/>
    <s v="Good"/>
    <n v="2"/>
    <n v="2"/>
    <x v="0"/>
    <s v="On Time"/>
    <s v="Corporate"/>
    <s v="Furniture"/>
    <s v="Medium"/>
    <n v="3.9"/>
    <n v="11"/>
    <s v="No"/>
    <s v="Efficient"/>
  </r>
  <r>
    <s v="SHP1421"/>
    <d v="2026-03-13T00:00:00"/>
    <d v="2026-03-14T00:00:00"/>
    <d v="2026-03-17T00:00:00"/>
    <s v="Lucknow"/>
    <s v="Delhi"/>
    <x v="7"/>
    <n v="1524"/>
    <x v="3"/>
    <n v="4"/>
    <n v="10668"/>
    <n v="7"/>
    <x v="31"/>
    <n v="1"/>
    <n v="3.5"/>
    <x v="3"/>
    <s v="High"/>
    <s v="Poor"/>
    <n v="3"/>
    <n v="3"/>
    <x v="0"/>
    <s v="On Time"/>
    <s v="Wholesale"/>
    <s v="Food"/>
    <s v="Low"/>
    <n v="3.1"/>
    <n v="7"/>
    <s v="No"/>
    <s v="Efficient"/>
  </r>
  <r>
    <s v="SHP1422"/>
    <d v="2026-04-25T00:00:00"/>
    <d v="2026-04-25T00:00:00"/>
    <d v="2026-04-30T00:00:00"/>
    <s v="Ahmedabad"/>
    <s v="Jaipur"/>
    <x v="2"/>
    <n v="1432"/>
    <x v="0"/>
    <n v="2"/>
    <n v="12888"/>
    <n v="7"/>
    <x v="15"/>
    <n v="11"/>
    <n v="4.8"/>
    <x v="2"/>
    <s v="High"/>
    <s v="Good"/>
    <n v="3"/>
    <n v="5"/>
    <x v="2"/>
    <s v="Delayed"/>
    <s v="Wholesale"/>
    <s v="Machinery"/>
    <s v="Low"/>
    <n v="4"/>
    <n v="9"/>
    <s v="Yes"/>
    <s v="Needs Improvement"/>
  </r>
  <r>
    <s v="SHP1423"/>
    <d v="2026-04-17T00:00:00"/>
    <d v="2026-04-19T00:00:00"/>
    <d v="2026-04-22T00:00:00"/>
    <s v="Kolkata"/>
    <s v="Patna"/>
    <x v="3"/>
    <n v="1216"/>
    <x v="3"/>
    <n v="4"/>
    <n v="12160"/>
    <n v="5"/>
    <x v="36"/>
    <n v="13"/>
    <n v="3.6"/>
    <x v="2"/>
    <s v="High"/>
    <s v="Poor"/>
    <n v="2"/>
    <n v="3"/>
    <x v="1"/>
    <s v="Delayed"/>
    <s v="Corporate"/>
    <s v="Electronics"/>
    <s v="Low"/>
    <n v="3.4"/>
    <n v="10"/>
    <s v="Yes"/>
    <s v="Needs Improvement"/>
  </r>
  <r>
    <s v="SHP1424"/>
    <d v="2026-02-05T00:00:00"/>
    <d v="2026-02-06T00:00:00"/>
    <d v="2026-02-09T00:00:00"/>
    <s v="Lucknow"/>
    <s v="Delhi"/>
    <x v="7"/>
    <n v="720"/>
    <x v="3"/>
    <n v="8"/>
    <n v="7200"/>
    <n v="7"/>
    <x v="4"/>
    <n v="2"/>
    <n v="3.6"/>
    <x v="2"/>
    <s v="Medium"/>
    <s v="Poor"/>
    <n v="1"/>
    <n v="3"/>
    <x v="2"/>
    <s v="Delayed"/>
    <s v="Corporate"/>
    <s v="Clothing"/>
    <s v="Medium"/>
    <n v="4.4000000000000004"/>
    <n v="10"/>
    <s v="Yes"/>
    <s v="Needs Improvement"/>
  </r>
  <r>
    <s v="SHP1425"/>
    <d v="2026-04-16T00:00:00"/>
    <d v="2026-04-17T00:00:00"/>
    <d v="2026-04-20T00:00:00"/>
    <s v="Delhi"/>
    <s v="Mumbai"/>
    <x v="0"/>
    <n v="1521"/>
    <x v="3"/>
    <n v="1"/>
    <n v="16731"/>
    <n v="10"/>
    <x v="24"/>
    <n v="5"/>
    <n v="4.0999999999999996"/>
    <x v="3"/>
    <s v="High"/>
    <s v="Poor"/>
    <n v="3"/>
    <n v="3"/>
    <x v="0"/>
    <s v="On Time"/>
    <s v="Wholesale"/>
    <s v="Furniture"/>
    <s v="Medium"/>
    <n v="3.8"/>
    <n v="11"/>
    <s v="No"/>
    <s v="Efficient"/>
  </r>
  <r>
    <s v="SHP1426"/>
    <d v="2026-04-27T00:00:00"/>
    <d v="2026-04-28T00:00:00"/>
    <d v="2026-04-29T00:00:00"/>
    <s v="Kolkata"/>
    <s v="Patna"/>
    <x v="3"/>
    <n v="816"/>
    <x v="3"/>
    <n v="4"/>
    <n v="6528"/>
    <n v="6"/>
    <x v="14"/>
    <n v="15"/>
    <n v="3.9"/>
    <x v="3"/>
    <s v="High"/>
    <s v="Average"/>
    <n v="1"/>
    <n v="1"/>
    <x v="0"/>
    <s v="On Time"/>
    <s v="Retail"/>
    <s v="Food"/>
    <s v="High"/>
    <n v="3.8"/>
    <n v="8"/>
    <s v="No"/>
    <s v="Efficient"/>
  </r>
  <r>
    <s v="SHP1427"/>
    <d v="2026-04-18T00:00:00"/>
    <d v="2026-04-19T00:00:00"/>
    <d v="2026-04-20T00:00:00"/>
    <s v="Lucknow"/>
    <s v="Delhi"/>
    <x v="7"/>
    <n v="405"/>
    <x v="2"/>
    <n v="5"/>
    <n v="4050"/>
    <n v="5"/>
    <x v="38"/>
    <n v="7"/>
    <n v="4.2"/>
    <x v="3"/>
    <s v="Medium"/>
    <s v="Poor"/>
    <n v="1"/>
    <n v="1"/>
    <x v="0"/>
    <s v="On Time"/>
    <s v="Wholesale"/>
    <s v="Furniture"/>
    <s v="High"/>
    <n v="3.9"/>
    <n v="10"/>
    <s v="No"/>
    <s v="Efficient"/>
  </r>
  <r>
    <s v="SHP1428"/>
    <d v="2026-03-24T00:00:00"/>
    <d v="2026-03-24T00:00:00"/>
    <d v="2026-03-29T00:00:00"/>
    <s v="Delhi"/>
    <s v="Mumbai"/>
    <x v="0"/>
    <n v="1020"/>
    <x v="2"/>
    <n v="5"/>
    <n v="8160"/>
    <n v="9"/>
    <x v="18"/>
    <n v="2"/>
    <n v="3.3"/>
    <x v="1"/>
    <s v="High"/>
    <s v="Poor"/>
    <n v="2"/>
    <n v="5"/>
    <x v="3"/>
    <s v="Delayed"/>
    <s v="Retail"/>
    <s v="Furniture"/>
    <s v="Medium"/>
    <n v="3.3"/>
    <n v="8"/>
    <s v="Yes"/>
    <s v="Needs Improvement"/>
  </r>
  <r>
    <s v="SHP1429"/>
    <d v="2026-03-17T00:00:00"/>
    <d v="2026-03-18T00:00:00"/>
    <d v="2026-03-20T00:00:00"/>
    <s v="Kolkata"/>
    <s v="Patna"/>
    <x v="3"/>
    <n v="606"/>
    <x v="3"/>
    <n v="7"/>
    <n v="4848"/>
    <n v="6"/>
    <x v="41"/>
    <n v="15"/>
    <n v="3.8"/>
    <x v="1"/>
    <s v="Low"/>
    <s v="Good"/>
    <n v="1"/>
    <n v="2"/>
    <x v="1"/>
    <s v="Delayed"/>
    <s v="Corporate"/>
    <s v="Food"/>
    <s v="Low"/>
    <n v="3.5"/>
    <n v="8"/>
    <s v="Yes"/>
    <s v="Needs Improvement"/>
  </r>
  <r>
    <s v="SHP1430"/>
    <d v="2026-04-20T00:00:00"/>
    <d v="2026-04-20T00:00:00"/>
    <d v="2026-04-25T00:00:00"/>
    <s v="Delhi"/>
    <s v="Mumbai"/>
    <x v="0"/>
    <n v="1021"/>
    <x v="1"/>
    <n v="10"/>
    <n v="8168"/>
    <n v="6"/>
    <x v="18"/>
    <n v="6"/>
    <n v="3.3"/>
    <x v="0"/>
    <s v="Low"/>
    <s v="Poor"/>
    <n v="2"/>
    <n v="5"/>
    <x v="3"/>
    <s v="Delayed"/>
    <s v="Retail"/>
    <s v="Food"/>
    <s v="Low"/>
    <n v="3.4"/>
    <n v="8"/>
    <s v="Yes"/>
    <s v="Needs Improvement"/>
  </r>
  <r>
    <s v="SHP1431"/>
    <d v="2026-01-27T00:00:00"/>
    <d v="2026-01-27T00:00:00"/>
    <d v="2026-01-29T00:00:00"/>
    <s v="Kolkata"/>
    <s v="Patna"/>
    <x v="3"/>
    <n v="789"/>
    <x v="1"/>
    <n v="7"/>
    <n v="5523"/>
    <n v="8"/>
    <x v="11"/>
    <n v="10"/>
    <n v="3.4"/>
    <x v="3"/>
    <s v="High"/>
    <s v="Poor"/>
    <n v="1"/>
    <n v="2"/>
    <x v="1"/>
    <s v="Delayed"/>
    <s v="Retail"/>
    <s v="Furniture"/>
    <s v="Low"/>
    <n v="3.6"/>
    <n v="7"/>
    <s v="Yes"/>
    <s v="Needs Improvement"/>
  </r>
  <r>
    <s v="SHP1432"/>
    <d v="2026-02-03T00:00:00"/>
    <d v="2026-02-03T00:00:00"/>
    <d v="2026-02-05T00:00:00"/>
    <s v="Nagpur"/>
    <s v="Surat"/>
    <x v="6"/>
    <n v="708"/>
    <x v="0"/>
    <n v="10"/>
    <n v="7788"/>
    <n v="10"/>
    <x v="3"/>
    <n v="2"/>
    <n v="3"/>
    <x v="1"/>
    <s v="Medium"/>
    <s v="Poor"/>
    <n v="1"/>
    <n v="2"/>
    <x v="1"/>
    <s v="Delayed"/>
    <s v="Wholesale"/>
    <s v="Food"/>
    <s v="High"/>
    <n v="3.8"/>
    <n v="11"/>
    <s v="Yes"/>
    <s v="Needs Improvement"/>
  </r>
  <r>
    <s v="SHP1433"/>
    <d v="2026-03-18T00:00:00"/>
    <d v="2026-03-19T00:00:00"/>
    <d v="2026-03-21T00:00:00"/>
    <s v="Bhopal"/>
    <s v="Pune"/>
    <x v="4"/>
    <n v="395"/>
    <x v="3"/>
    <n v="1"/>
    <n v="3160"/>
    <n v="6"/>
    <x v="20"/>
    <n v="15"/>
    <n v="3.7"/>
    <x v="0"/>
    <s v="Low"/>
    <s v="Average"/>
    <n v="1"/>
    <n v="2"/>
    <x v="1"/>
    <s v="Delayed"/>
    <s v="Retail"/>
    <s v="Food"/>
    <s v="High"/>
    <n v="3.7"/>
    <n v="8"/>
    <s v="Yes"/>
    <s v="Needs Improvement"/>
  </r>
  <r>
    <s v="SHP1434"/>
    <d v="2026-04-25T00:00:00"/>
    <d v="2026-04-27T00:00:00"/>
    <d v="2026-05-02T00:00:00"/>
    <s v="Delhi"/>
    <s v="Mumbai"/>
    <x v="0"/>
    <n v="1388"/>
    <x v="2"/>
    <n v="5"/>
    <n v="9716"/>
    <n v="9"/>
    <x v="32"/>
    <n v="15"/>
    <n v="3.7"/>
    <x v="2"/>
    <s v="Low"/>
    <s v="Good"/>
    <n v="3"/>
    <n v="5"/>
    <x v="2"/>
    <s v="Delayed"/>
    <s v="Wholesale"/>
    <s v="Food"/>
    <s v="Low"/>
    <n v="3.5"/>
    <n v="7"/>
    <s v="Yes"/>
    <s v="Needs Improvement"/>
  </r>
  <r>
    <s v="SHP1435"/>
    <d v="2026-02-10T00:00:00"/>
    <d v="2026-02-10T00:00:00"/>
    <d v="2026-02-14T00:00:00"/>
    <s v="Indore"/>
    <s v="Hyderabad"/>
    <x v="5"/>
    <n v="1222"/>
    <x v="0"/>
    <n v="6"/>
    <n v="10998"/>
    <n v="7"/>
    <x v="46"/>
    <n v="10"/>
    <n v="4.7"/>
    <x v="3"/>
    <s v="High"/>
    <s v="Average"/>
    <n v="2"/>
    <n v="4"/>
    <x v="2"/>
    <s v="Delayed"/>
    <s v="Wholesale"/>
    <s v="Food"/>
    <s v="Low"/>
    <n v="4.0999999999999996"/>
    <n v="9"/>
    <s v="Yes"/>
    <s v="Needs Improvement"/>
  </r>
  <r>
    <s v="SHP1436"/>
    <d v="2026-04-29T00:00:00"/>
    <d v="2026-05-01T00:00:00"/>
    <d v="2026-05-05T00:00:00"/>
    <s v="Nagpur"/>
    <s v="Surat"/>
    <x v="6"/>
    <n v="308"/>
    <x v="2"/>
    <n v="3"/>
    <n v="1848"/>
    <n v="6"/>
    <x v="49"/>
    <n v="1"/>
    <n v="3.9"/>
    <x v="1"/>
    <s v="High"/>
    <s v="Average"/>
    <n v="1"/>
    <n v="4"/>
    <x v="3"/>
    <s v="Delayed"/>
    <s v="Corporate"/>
    <s v="Food"/>
    <s v="Medium"/>
    <n v="5"/>
    <n v="6"/>
    <s v="Yes"/>
    <s v="Needs Improvement"/>
  </r>
  <r>
    <s v="SHP1437"/>
    <d v="2026-03-13T00:00:00"/>
    <d v="2026-03-14T00:00:00"/>
    <d v="2026-03-18T00:00:00"/>
    <s v="Nagpur"/>
    <s v="Surat"/>
    <x v="6"/>
    <n v="1209"/>
    <x v="3"/>
    <n v="3"/>
    <n v="7254"/>
    <n v="7"/>
    <x v="18"/>
    <n v="4"/>
    <n v="4.7"/>
    <x v="1"/>
    <s v="Low"/>
    <s v="Poor"/>
    <n v="2"/>
    <n v="4"/>
    <x v="2"/>
    <s v="Delayed"/>
    <s v="Wholesale"/>
    <s v="Machinery"/>
    <s v="Low"/>
    <n v="4.2"/>
    <n v="6"/>
    <s v="Yes"/>
    <s v="Needs Improvement"/>
  </r>
  <r>
    <s v="SHP1438"/>
    <d v="2026-01-01T00:00:00"/>
    <d v="2026-01-03T00:00:00"/>
    <d v="2026-01-07T00:00:00"/>
    <s v="Indore"/>
    <s v="Hyderabad"/>
    <x v="5"/>
    <n v="1052"/>
    <x v="3"/>
    <n v="4"/>
    <n v="12624"/>
    <n v="8"/>
    <x v="23"/>
    <n v="2"/>
    <n v="4.8"/>
    <x v="0"/>
    <s v="Medium"/>
    <s v="Poor"/>
    <n v="2"/>
    <n v="4"/>
    <x v="2"/>
    <s v="Delayed"/>
    <s v="Corporate"/>
    <s v="Food"/>
    <s v="Medium"/>
    <n v="4.2"/>
    <n v="12"/>
    <s v="Yes"/>
    <s v="Needs Improvement"/>
  </r>
  <r>
    <s v="SHP1439"/>
    <d v="2026-01-14T00:00:00"/>
    <d v="2026-01-15T00:00:00"/>
    <d v="2026-01-16T00:00:00"/>
    <s v="Indore"/>
    <s v="Hyderabad"/>
    <x v="5"/>
    <n v="259"/>
    <x v="3"/>
    <n v="8"/>
    <n v="3108"/>
    <n v="10"/>
    <x v="15"/>
    <n v="8"/>
    <n v="3.9"/>
    <x v="3"/>
    <s v="High"/>
    <s v="Poor"/>
    <n v="1"/>
    <n v="1"/>
    <x v="0"/>
    <s v="On Time"/>
    <s v="Wholesale"/>
    <s v="Machinery"/>
    <s v="Medium"/>
    <n v="3.6"/>
    <n v="12"/>
    <s v="No"/>
    <s v="Efficient"/>
  </r>
  <r>
    <s v="SHP1440"/>
    <d v="2026-04-04T00:00:00"/>
    <d v="2026-04-06T00:00:00"/>
    <d v="2026-04-07T00:00:00"/>
    <s v="Indore"/>
    <s v="Hyderabad"/>
    <x v="5"/>
    <n v="632"/>
    <x v="3"/>
    <n v="5"/>
    <n v="5056"/>
    <n v="5"/>
    <x v="0"/>
    <n v="2"/>
    <n v="4.0999999999999996"/>
    <x v="2"/>
    <s v="Low"/>
    <s v="Average"/>
    <n v="1"/>
    <n v="1"/>
    <x v="0"/>
    <s v="On Time"/>
    <s v="Corporate"/>
    <s v="Food"/>
    <s v="Low"/>
    <n v="3"/>
    <n v="8"/>
    <s v="No"/>
    <s v="Efficient"/>
  </r>
  <r>
    <s v="SHP1441"/>
    <d v="2026-01-27T00:00:00"/>
    <d v="2026-01-27T00:00:00"/>
    <d v="2026-01-30T00:00:00"/>
    <s v="Lucknow"/>
    <s v="Delhi"/>
    <x v="7"/>
    <n v="1796"/>
    <x v="1"/>
    <n v="5"/>
    <n v="19756"/>
    <n v="10"/>
    <x v="5"/>
    <n v="2"/>
    <n v="3.6"/>
    <x v="2"/>
    <s v="High"/>
    <s v="Average"/>
    <n v="3"/>
    <n v="3"/>
    <x v="0"/>
    <s v="On Time"/>
    <s v="Retail"/>
    <s v="Machinery"/>
    <s v="Low"/>
    <n v="4"/>
    <n v="11"/>
    <s v="No"/>
    <s v="Efficient"/>
  </r>
  <r>
    <s v="SHP1442"/>
    <d v="2026-04-24T00:00:00"/>
    <d v="2026-04-25T00:00:00"/>
    <d v="2026-04-28T00:00:00"/>
    <s v="Nagpur"/>
    <s v="Surat"/>
    <x v="6"/>
    <n v="749"/>
    <x v="1"/>
    <n v="2"/>
    <n v="8988"/>
    <n v="8"/>
    <x v="8"/>
    <n v="10"/>
    <n v="3.4"/>
    <x v="2"/>
    <s v="Low"/>
    <s v="Good"/>
    <n v="1"/>
    <n v="3"/>
    <x v="2"/>
    <s v="Delayed"/>
    <s v="Retail"/>
    <s v="Furniture"/>
    <s v="High"/>
    <n v="4.4000000000000004"/>
    <n v="12"/>
    <s v="Yes"/>
    <s v="Needs Improvement"/>
  </r>
  <r>
    <s v="SHP1443"/>
    <d v="2026-01-20T00:00:00"/>
    <d v="2026-01-21T00:00:00"/>
    <d v="2026-01-24T00:00:00"/>
    <s v="Bhopal"/>
    <s v="Pune"/>
    <x v="4"/>
    <n v="795"/>
    <x v="1"/>
    <n v="7"/>
    <n v="4770"/>
    <n v="8"/>
    <x v="26"/>
    <n v="3"/>
    <n v="5"/>
    <x v="3"/>
    <s v="Low"/>
    <s v="Poor"/>
    <n v="1"/>
    <n v="3"/>
    <x v="2"/>
    <s v="Delayed"/>
    <s v="Wholesale"/>
    <s v="Electronics"/>
    <s v="High"/>
    <n v="3.2"/>
    <n v="6"/>
    <s v="Yes"/>
    <s v="Needs Improvement"/>
  </r>
  <r>
    <s v="SHP1444"/>
    <d v="2026-01-06T00:00:00"/>
    <d v="2026-01-08T00:00:00"/>
    <d v="2026-01-10T00:00:00"/>
    <s v="Bhopal"/>
    <s v="Pune"/>
    <x v="4"/>
    <n v="1245"/>
    <x v="1"/>
    <n v="7"/>
    <n v="7470"/>
    <n v="8"/>
    <x v="15"/>
    <n v="12"/>
    <n v="4.0999999999999996"/>
    <x v="3"/>
    <s v="Medium"/>
    <s v="Average"/>
    <n v="2"/>
    <n v="2"/>
    <x v="0"/>
    <s v="On Time"/>
    <s v="Wholesale"/>
    <s v="Electronics"/>
    <s v="Low"/>
    <n v="4.5"/>
    <n v="6"/>
    <s v="No"/>
    <s v="Efficient"/>
  </r>
  <r>
    <s v="SHP1445"/>
    <d v="2026-03-01T00:00:00"/>
    <d v="2026-03-01T00:00:00"/>
    <d v="2026-03-04T00:00:00"/>
    <s v="Indore"/>
    <s v="Hyderabad"/>
    <x v="5"/>
    <n v="1004"/>
    <x v="3"/>
    <n v="2"/>
    <n v="9036"/>
    <n v="10"/>
    <x v="26"/>
    <n v="6"/>
    <n v="4.2"/>
    <x v="2"/>
    <s v="High"/>
    <s v="Average"/>
    <n v="2"/>
    <n v="3"/>
    <x v="1"/>
    <s v="Delayed"/>
    <s v="Corporate"/>
    <s v="Furniture"/>
    <s v="Low"/>
    <n v="4.5"/>
    <n v="9"/>
    <s v="Yes"/>
    <s v="Needs Improvement"/>
  </r>
  <r>
    <s v="SHP1446"/>
    <d v="2026-03-19T00:00:00"/>
    <d v="2026-03-20T00:00:00"/>
    <d v="2026-03-26T00:00:00"/>
    <s v="Bhopal"/>
    <s v="Pune"/>
    <x v="4"/>
    <n v="1088"/>
    <x v="3"/>
    <n v="1"/>
    <n v="9792"/>
    <n v="5"/>
    <x v="33"/>
    <n v="3"/>
    <n v="4.3"/>
    <x v="2"/>
    <s v="High"/>
    <s v="Average"/>
    <n v="2"/>
    <n v="6"/>
    <x v="4"/>
    <s v="Delayed"/>
    <s v="Wholesale"/>
    <s v="Clothing"/>
    <s v="High"/>
    <n v="4.3"/>
    <n v="9"/>
    <s v="Yes"/>
    <s v="Needs Improvement"/>
  </r>
  <r>
    <s v="SHP1447"/>
    <d v="2026-03-30T00:00:00"/>
    <d v="2026-04-01T00:00:00"/>
    <d v="2026-04-04T00:00:00"/>
    <s v="Lucknow"/>
    <s v="Delhi"/>
    <x v="7"/>
    <n v="819"/>
    <x v="3"/>
    <n v="3"/>
    <n v="5733"/>
    <n v="5"/>
    <x v="34"/>
    <n v="2"/>
    <n v="4.5999999999999996"/>
    <x v="1"/>
    <s v="Low"/>
    <s v="Good"/>
    <n v="1"/>
    <n v="3"/>
    <x v="2"/>
    <s v="Delayed"/>
    <s v="Corporate"/>
    <s v="Furniture"/>
    <s v="Medium"/>
    <n v="4.7"/>
    <n v="7"/>
    <s v="Yes"/>
    <s v="Needs Improvement"/>
  </r>
  <r>
    <s v="SHP1448"/>
    <d v="2026-04-20T00:00:00"/>
    <d v="2026-04-22T00:00:00"/>
    <d v="2026-04-26T00:00:00"/>
    <s v="Chennai"/>
    <s v="Bangalore"/>
    <x v="1"/>
    <n v="376"/>
    <x v="0"/>
    <n v="8"/>
    <n v="2632"/>
    <n v="8"/>
    <x v="22"/>
    <n v="1"/>
    <n v="3.2"/>
    <x v="1"/>
    <s v="High"/>
    <s v="Poor"/>
    <n v="1"/>
    <n v="4"/>
    <x v="3"/>
    <s v="Delayed"/>
    <s v="Corporate"/>
    <s v="Food"/>
    <s v="High"/>
    <n v="3.5"/>
    <n v="7"/>
    <s v="Yes"/>
    <s v="Needs Improvement"/>
  </r>
  <r>
    <s v="SHP1449"/>
    <d v="2026-02-07T00:00:00"/>
    <d v="2026-02-09T00:00:00"/>
    <d v="2026-02-13T00:00:00"/>
    <s v="Lucknow"/>
    <s v="Delhi"/>
    <x v="7"/>
    <n v="304"/>
    <x v="0"/>
    <n v="1"/>
    <n v="1824"/>
    <n v="10"/>
    <x v="47"/>
    <n v="7"/>
    <n v="5"/>
    <x v="2"/>
    <s v="High"/>
    <s v="Poor"/>
    <n v="1"/>
    <n v="4"/>
    <x v="3"/>
    <s v="Delayed"/>
    <s v="Retail"/>
    <s v="Food"/>
    <s v="High"/>
    <n v="4.2"/>
    <n v="6"/>
    <s v="Yes"/>
    <s v="Needs Improvement"/>
  </r>
  <r>
    <s v="SHP1450"/>
    <d v="2026-03-20T00:00:00"/>
    <d v="2026-03-22T00:00:00"/>
    <d v="2026-03-26T00:00:00"/>
    <s v="Nagpur"/>
    <s v="Surat"/>
    <x v="6"/>
    <n v="674"/>
    <x v="3"/>
    <n v="9"/>
    <n v="4044"/>
    <n v="8"/>
    <x v="16"/>
    <n v="6"/>
    <n v="4.0999999999999996"/>
    <x v="3"/>
    <s v="High"/>
    <s v="Average"/>
    <n v="1"/>
    <n v="4"/>
    <x v="3"/>
    <s v="Delayed"/>
    <s v="Wholesale"/>
    <s v="Clothing"/>
    <s v="Medium"/>
    <n v="4.4000000000000004"/>
    <n v="6"/>
    <s v="Yes"/>
    <s v="Needs Improvement"/>
  </r>
  <r>
    <s v="SHP1451"/>
    <d v="2026-01-03T00:00:00"/>
    <d v="2026-01-03T00:00:00"/>
    <d v="2026-01-08T00:00:00"/>
    <s v="Kolkata"/>
    <s v="Patna"/>
    <x v="3"/>
    <n v="1687"/>
    <x v="2"/>
    <n v="8"/>
    <n v="13496"/>
    <n v="8"/>
    <x v="45"/>
    <n v="9"/>
    <n v="3.4"/>
    <x v="3"/>
    <s v="High"/>
    <s v="Poor"/>
    <n v="3"/>
    <n v="5"/>
    <x v="2"/>
    <s v="Delayed"/>
    <s v="Wholesale"/>
    <s v="Food"/>
    <s v="Medium"/>
    <n v="4.7"/>
    <n v="8"/>
    <s v="Yes"/>
    <s v="Needs Improvement"/>
  </r>
  <r>
    <s v="SHP1452"/>
    <d v="2026-03-28T00:00:00"/>
    <d v="2026-03-30T00:00:00"/>
    <d v="2026-04-01T00:00:00"/>
    <s v="Ahmedabad"/>
    <s v="Jaipur"/>
    <x v="2"/>
    <n v="1167"/>
    <x v="2"/>
    <n v="10"/>
    <n v="8169"/>
    <n v="7"/>
    <x v="4"/>
    <n v="12"/>
    <n v="3.2"/>
    <x v="2"/>
    <s v="Low"/>
    <s v="Good"/>
    <n v="2"/>
    <n v="2"/>
    <x v="0"/>
    <s v="On Time"/>
    <s v="Wholesale"/>
    <s v="Food"/>
    <s v="Low"/>
    <n v="4.5999999999999996"/>
    <n v="7"/>
    <s v="No"/>
    <s v="Efficient"/>
  </r>
  <r>
    <s v="SHP1453"/>
    <d v="2026-05-01T00:00:00"/>
    <d v="2026-05-02T00:00:00"/>
    <d v="2026-05-03T00:00:00"/>
    <s v="Kolkata"/>
    <s v="Patna"/>
    <x v="3"/>
    <n v="680"/>
    <x v="2"/>
    <n v="9"/>
    <n v="4080"/>
    <n v="5"/>
    <x v="38"/>
    <n v="15"/>
    <n v="3.5"/>
    <x v="1"/>
    <s v="Low"/>
    <s v="Poor"/>
    <n v="1"/>
    <n v="1"/>
    <x v="0"/>
    <s v="On Time"/>
    <s v="Retail"/>
    <s v="Food"/>
    <s v="Low"/>
    <n v="4.2"/>
    <n v="6"/>
    <s v="No"/>
    <s v="Efficient"/>
  </r>
  <r>
    <s v="SHP1454"/>
    <d v="2026-01-16T00:00:00"/>
    <d v="2026-01-18T00:00:00"/>
    <d v="2026-01-24T00:00:00"/>
    <s v="Chennai"/>
    <s v="Bangalore"/>
    <x v="1"/>
    <n v="1196"/>
    <x v="0"/>
    <n v="6"/>
    <n v="14352"/>
    <n v="7"/>
    <x v="36"/>
    <n v="1"/>
    <n v="4.5"/>
    <x v="3"/>
    <s v="Low"/>
    <s v="Poor"/>
    <n v="2"/>
    <n v="6"/>
    <x v="4"/>
    <s v="Delayed"/>
    <s v="Wholesale"/>
    <s v="Electronics"/>
    <s v="High"/>
    <n v="3.1"/>
    <n v="12"/>
    <s v="Yes"/>
    <s v="Needs Improvement"/>
  </r>
  <r>
    <s v="SHP1455"/>
    <d v="2026-02-26T00:00:00"/>
    <d v="2026-02-27T00:00:00"/>
    <d v="2026-03-02T00:00:00"/>
    <s v="Bhopal"/>
    <s v="Pune"/>
    <x v="4"/>
    <n v="416"/>
    <x v="3"/>
    <n v="9"/>
    <n v="2496"/>
    <n v="9"/>
    <x v="17"/>
    <n v="3"/>
    <n v="4.3"/>
    <x v="1"/>
    <s v="Medium"/>
    <s v="Good"/>
    <n v="1"/>
    <n v="3"/>
    <x v="2"/>
    <s v="Delayed"/>
    <s v="Wholesale"/>
    <s v="Food"/>
    <s v="High"/>
    <n v="4"/>
    <n v="6"/>
    <s v="Yes"/>
    <s v="Needs Improvement"/>
  </r>
  <r>
    <s v="SHP1456"/>
    <d v="2026-04-22T00:00:00"/>
    <d v="2026-04-22T00:00:00"/>
    <d v="2026-04-26T00:00:00"/>
    <s v="Indore"/>
    <s v="Hyderabad"/>
    <x v="5"/>
    <n v="1525"/>
    <x v="0"/>
    <n v="6"/>
    <n v="18300"/>
    <n v="6"/>
    <x v="21"/>
    <n v="14"/>
    <n v="3.4"/>
    <x v="2"/>
    <s v="Low"/>
    <s v="Good"/>
    <n v="3"/>
    <n v="4"/>
    <x v="1"/>
    <s v="Delayed"/>
    <s v="Retail"/>
    <s v="Machinery"/>
    <s v="Low"/>
    <n v="3.2"/>
    <n v="12"/>
    <s v="Yes"/>
    <s v="Needs Improvement"/>
  </r>
  <r>
    <s v="SHP1457"/>
    <d v="2026-02-17T00:00:00"/>
    <d v="2026-02-19T00:00:00"/>
    <d v="2026-02-23T00:00:00"/>
    <s v="Lucknow"/>
    <s v="Delhi"/>
    <x v="7"/>
    <n v="938"/>
    <x v="2"/>
    <n v="3"/>
    <n v="11256"/>
    <n v="9"/>
    <x v="19"/>
    <n v="13"/>
    <n v="3.5"/>
    <x v="2"/>
    <s v="Medium"/>
    <s v="Average"/>
    <n v="2"/>
    <n v="4"/>
    <x v="2"/>
    <s v="Delayed"/>
    <s v="Wholesale"/>
    <s v="Clothing"/>
    <s v="Low"/>
    <n v="3.9"/>
    <n v="12"/>
    <s v="Yes"/>
    <s v="Needs Improvement"/>
  </r>
  <r>
    <s v="SHP1458"/>
    <d v="2026-04-09T00:00:00"/>
    <d v="2026-04-09T00:00:00"/>
    <d v="2026-04-10T00:00:00"/>
    <s v="Bhopal"/>
    <s v="Pune"/>
    <x v="4"/>
    <n v="373"/>
    <x v="0"/>
    <n v="6"/>
    <n v="3357"/>
    <n v="6"/>
    <x v="22"/>
    <n v="1"/>
    <n v="3.8"/>
    <x v="0"/>
    <s v="High"/>
    <s v="Poor"/>
    <n v="1"/>
    <n v="1"/>
    <x v="0"/>
    <s v="On Time"/>
    <s v="Wholesale"/>
    <s v="Machinery"/>
    <s v="Medium"/>
    <n v="3.8"/>
    <n v="9"/>
    <s v="No"/>
    <s v="Efficient"/>
  </r>
  <r>
    <s v="SHP1459"/>
    <d v="2026-04-24T00:00:00"/>
    <d v="2026-04-26T00:00:00"/>
    <d v="2026-05-01T00:00:00"/>
    <s v="Kolkata"/>
    <s v="Patna"/>
    <x v="3"/>
    <n v="1677"/>
    <x v="0"/>
    <n v="6"/>
    <n v="10062"/>
    <n v="7"/>
    <x v="9"/>
    <n v="10"/>
    <n v="4.8"/>
    <x v="2"/>
    <s v="Medium"/>
    <s v="Poor"/>
    <n v="3"/>
    <n v="5"/>
    <x v="2"/>
    <s v="Delayed"/>
    <s v="Wholesale"/>
    <s v="Machinery"/>
    <s v="High"/>
    <n v="3.9"/>
    <n v="6"/>
    <s v="Yes"/>
    <s v="Needs Improvement"/>
  </r>
  <r>
    <s v="SHP1460"/>
    <d v="2026-02-14T00:00:00"/>
    <d v="2026-02-16T00:00:00"/>
    <d v="2026-02-19T00:00:00"/>
    <s v="Lucknow"/>
    <s v="Delhi"/>
    <x v="7"/>
    <n v="1788"/>
    <x v="2"/>
    <n v="5"/>
    <n v="10728"/>
    <n v="5"/>
    <x v="2"/>
    <n v="6"/>
    <n v="3.8"/>
    <x v="1"/>
    <s v="High"/>
    <s v="Poor"/>
    <n v="3"/>
    <n v="3"/>
    <x v="0"/>
    <s v="On Time"/>
    <s v="Wholesale"/>
    <s v="Machinery"/>
    <s v="Medium"/>
    <n v="4"/>
    <n v="6"/>
    <s v="No"/>
    <s v="Efficient"/>
  </r>
  <r>
    <s v="SHP1461"/>
    <d v="2026-04-07T00:00:00"/>
    <d v="2026-04-09T00:00:00"/>
    <d v="2026-04-12T00:00:00"/>
    <s v="Indore"/>
    <s v="Hyderabad"/>
    <x v="5"/>
    <n v="247"/>
    <x v="3"/>
    <n v="9"/>
    <n v="2470"/>
    <n v="7"/>
    <x v="24"/>
    <n v="14"/>
    <n v="4.5"/>
    <x v="2"/>
    <s v="High"/>
    <s v="Good"/>
    <n v="1"/>
    <n v="3"/>
    <x v="2"/>
    <s v="Delayed"/>
    <s v="Wholesale"/>
    <s v="Machinery"/>
    <s v="Medium"/>
    <n v="3.2"/>
    <n v="10"/>
    <s v="Yes"/>
    <s v="Needs Improvement"/>
  </r>
  <r>
    <s v="SHP1462"/>
    <d v="2026-04-07T00:00:00"/>
    <d v="2026-04-09T00:00:00"/>
    <d v="2026-04-12T00:00:00"/>
    <s v="Bhopal"/>
    <s v="Pune"/>
    <x v="4"/>
    <n v="1119"/>
    <x v="0"/>
    <n v="10"/>
    <n v="12309"/>
    <n v="5"/>
    <x v="3"/>
    <n v="6"/>
    <n v="5"/>
    <x v="1"/>
    <s v="Medium"/>
    <s v="Average"/>
    <n v="2"/>
    <n v="3"/>
    <x v="1"/>
    <s v="Delayed"/>
    <s v="Wholesale"/>
    <s v="Food"/>
    <s v="High"/>
    <n v="4.5"/>
    <n v="11"/>
    <s v="Yes"/>
    <s v="Needs Improvement"/>
  </r>
  <r>
    <s v="SHP1463"/>
    <d v="2026-01-14T00:00:00"/>
    <d v="2026-01-15T00:00:00"/>
    <d v="2026-01-19T00:00:00"/>
    <s v="Chennai"/>
    <s v="Bangalore"/>
    <x v="1"/>
    <n v="1794"/>
    <x v="0"/>
    <n v="8"/>
    <n v="10764"/>
    <n v="6"/>
    <x v="47"/>
    <n v="7"/>
    <n v="4.7"/>
    <x v="0"/>
    <s v="Low"/>
    <s v="Good"/>
    <n v="3"/>
    <n v="4"/>
    <x v="1"/>
    <s v="Delayed"/>
    <s v="Corporate"/>
    <s v="Food"/>
    <s v="Low"/>
    <n v="3.9"/>
    <n v="6"/>
    <s v="Yes"/>
    <s v="Needs Improvement"/>
  </r>
  <r>
    <s v="SHP1464"/>
    <d v="2026-02-17T00:00:00"/>
    <d v="2026-02-19T00:00:00"/>
    <d v="2026-02-24T00:00:00"/>
    <s v="Lucknow"/>
    <s v="Delhi"/>
    <x v="7"/>
    <n v="1404"/>
    <x v="1"/>
    <n v="5"/>
    <n v="14040"/>
    <n v="8"/>
    <x v="43"/>
    <n v="7"/>
    <n v="5"/>
    <x v="2"/>
    <s v="High"/>
    <s v="Average"/>
    <n v="3"/>
    <n v="5"/>
    <x v="2"/>
    <s v="Delayed"/>
    <s v="Corporate"/>
    <s v="Food"/>
    <s v="High"/>
    <n v="3.9"/>
    <n v="10"/>
    <s v="Yes"/>
    <s v="Needs Improvement"/>
  </r>
  <r>
    <s v="SHP1465"/>
    <d v="2026-04-01T00:00:00"/>
    <d v="2026-04-03T00:00:00"/>
    <d v="2026-04-06T00:00:00"/>
    <s v="Bhopal"/>
    <s v="Pune"/>
    <x v="4"/>
    <n v="1622"/>
    <x v="2"/>
    <n v="8"/>
    <n v="14598"/>
    <n v="5"/>
    <x v="0"/>
    <n v="3"/>
    <n v="4.9000000000000004"/>
    <x v="3"/>
    <s v="Low"/>
    <s v="Poor"/>
    <n v="3"/>
    <n v="3"/>
    <x v="0"/>
    <s v="On Time"/>
    <s v="Corporate"/>
    <s v="Clothing"/>
    <s v="High"/>
    <n v="3.6"/>
    <n v="9"/>
    <s v="No"/>
    <s v="Efficient"/>
  </r>
  <r>
    <s v="SHP1466"/>
    <d v="2026-03-08T00:00:00"/>
    <d v="2026-03-08T00:00:00"/>
    <d v="2026-03-12T00:00:00"/>
    <s v="Bhopal"/>
    <s v="Pune"/>
    <x v="4"/>
    <n v="960"/>
    <x v="0"/>
    <n v="6"/>
    <n v="7680"/>
    <n v="7"/>
    <x v="32"/>
    <n v="1"/>
    <n v="4.5999999999999996"/>
    <x v="1"/>
    <s v="High"/>
    <s v="Average"/>
    <n v="2"/>
    <n v="4"/>
    <x v="2"/>
    <s v="Delayed"/>
    <s v="Corporate"/>
    <s v="Furniture"/>
    <s v="High"/>
    <n v="4"/>
    <n v="8"/>
    <s v="Yes"/>
    <s v="Needs Improvement"/>
  </r>
  <r>
    <s v="SHP1467"/>
    <d v="2026-01-16T00:00:00"/>
    <d v="2026-01-18T00:00:00"/>
    <d v="2026-01-20T00:00:00"/>
    <s v="Ahmedabad"/>
    <s v="Jaipur"/>
    <x v="2"/>
    <n v="338"/>
    <x v="3"/>
    <n v="7"/>
    <n v="3042"/>
    <n v="9"/>
    <x v="26"/>
    <n v="10"/>
    <n v="3.9"/>
    <x v="3"/>
    <s v="Medium"/>
    <s v="Average"/>
    <n v="1"/>
    <n v="2"/>
    <x v="1"/>
    <s v="Delayed"/>
    <s v="Corporate"/>
    <s v="Machinery"/>
    <s v="High"/>
    <n v="3.9"/>
    <n v="9"/>
    <s v="Yes"/>
    <s v="Needs Improvement"/>
  </r>
  <r>
    <s v="SHP1468"/>
    <d v="2026-02-27T00:00:00"/>
    <d v="2026-03-01T00:00:00"/>
    <d v="2026-03-02T00:00:00"/>
    <s v="Nagpur"/>
    <s v="Surat"/>
    <x v="6"/>
    <n v="505"/>
    <x v="0"/>
    <n v="2"/>
    <n v="6060"/>
    <n v="9"/>
    <x v="15"/>
    <n v="10"/>
    <n v="3.8"/>
    <x v="1"/>
    <s v="Medium"/>
    <s v="Average"/>
    <n v="1"/>
    <n v="1"/>
    <x v="0"/>
    <s v="On Time"/>
    <s v="Wholesale"/>
    <s v="Food"/>
    <s v="High"/>
    <n v="3.6"/>
    <n v="12"/>
    <s v="No"/>
    <s v="Efficient"/>
  </r>
  <r>
    <s v="SHP1469"/>
    <d v="2026-01-12T00:00:00"/>
    <d v="2026-01-12T00:00:00"/>
    <d v="2026-01-18T00:00:00"/>
    <s v="Delhi"/>
    <s v="Mumbai"/>
    <x v="0"/>
    <n v="1371"/>
    <x v="0"/>
    <n v="9"/>
    <n v="15081"/>
    <n v="5"/>
    <x v="12"/>
    <n v="9"/>
    <n v="3.2"/>
    <x v="0"/>
    <s v="High"/>
    <s v="Poor"/>
    <n v="3"/>
    <n v="6"/>
    <x v="3"/>
    <s v="Delayed"/>
    <s v="Wholesale"/>
    <s v="Electronics"/>
    <s v="Low"/>
    <n v="4.3"/>
    <n v="11"/>
    <s v="Yes"/>
    <s v="Needs Improvement"/>
  </r>
  <r>
    <s v="SHP1470"/>
    <d v="2026-03-10T00:00:00"/>
    <d v="2026-03-10T00:00:00"/>
    <d v="2026-03-12T00:00:00"/>
    <s v="Delhi"/>
    <s v="Mumbai"/>
    <x v="0"/>
    <n v="763"/>
    <x v="2"/>
    <n v="4"/>
    <n v="9156"/>
    <n v="10"/>
    <x v="30"/>
    <n v="8"/>
    <n v="3.2"/>
    <x v="3"/>
    <s v="Medium"/>
    <s v="Poor"/>
    <n v="1"/>
    <n v="2"/>
    <x v="1"/>
    <s v="Delayed"/>
    <s v="Corporate"/>
    <s v="Clothing"/>
    <s v="Medium"/>
    <n v="3.4"/>
    <n v="12"/>
    <s v="Yes"/>
    <s v="Needs Improvement"/>
  </r>
  <r>
    <s v="SHP1471"/>
    <d v="2026-01-04T00:00:00"/>
    <d v="2026-01-06T00:00:00"/>
    <d v="2026-01-09T00:00:00"/>
    <s v="Ahmedabad"/>
    <s v="Jaipur"/>
    <x v="2"/>
    <n v="982"/>
    <x v="0"/>
    <n v="2"/>
    <n v="5892"/>
    <n v="5"/>
    <x v="2"/>
    <n v="3"/>
    <n v="3.6"/>
    <x v="1"/>
    <s v="Medium"/>
    <s v="Good"/>
    <n v="2"/>
    <n v="3"/>
    <x v="1"/>
    <s v="Delayed"/>
    <s v="Retail"/>
    <s v="Furniture"/>
    <s v="Low"/>
    <n v="4.2"/>
    <n v="6"/>
    <s v="Yes"/>
    <s v="Needs Improvement"/>
  </r>
  <r>
    <s v="SHP1472"/>
    <d v="2026-02-11T00:00:00"/>
    <d v="2026-02-11T00:00:00"/>
    <d v="2026-02-14T00:00:00"/>
    <s v="Delhi"/>
    <s v="Mumbai"/>
    <x v="0"/>
    <n v="1660"/>
    <x v="3"/>
    <n v="5"/>
    <n v="14940"/>
    <n v="5"/>
    <x v="44"/>
    <n v="3"/>
    <n v="3.8"/>
    <x v="3"/>
    <s v="Medium"/>
    <s v="Average"/>
    <n v="3"/>
    <n v="3"/>
    <x v="0"/>
    <s v="On Time"/>
    <s v="Corporate"/>
    <s v="Furniture"/>
    <s v="High"/>
    <n v="4.2"/>
    <n v="9"/>
    <s v="No"/>
    <s v="Efficient"/>
  </r>
  <r>
    <s v="SHP1473"/>
    <d v="2026-03-05T00:00:00"/>
    <d v="2026-03-07T00:00:00"/>
    <d v="2026-03-08T00:00:00"/>
    <s v="Lucknow"/>
    <s v="Delhi"/>
    <x v="7"/>
    <n v="435"/>
    <x v="0"/>
    <n v="1"/>
    <n v="3480"/>
    <n v="8"/>
    <x v="10"/>
    <n v="7"/>
    <n v="3.1"/>
    <x v="0"/>
    <s v="Medium"/>
    <s v="Poor"/>
    <n v="1"/>
    <n v="1"/>
    <x v="0"/>
    <s v="On Time"/>
    <s v="Corporate"/>
    <s v="Clothing"/>
    <s v="High"/>
    <n v="4.9000000000000004"/>
    <n v="8"/>
    <s v="No"/>
    <s v="Efficient"/>
  </r>
  <r>
    <s v="SHP1474"/>
    <d v="2026-03-28T00:00:00"/>
    <d v="2026-03-28T00:00:00"/>
    <d v="2026-04-01T00:00:00"/>
    <s v="Chennai"/>
    <s v="Bangalore"/>
    <x v="1"/>
    <n v="1762"/>
    <x v="2"/>
    <n v="5"/>
    <n v="17620"/>
    <n v="8"/>
    <x v="25"/>
    <n v="2"/>
    <n v="4.7"/>
    <x v="1"/>
    <s v="Low"/>
    <s v="Average"/>
    <n v="3"/>
    <n v="4"/>
    <x v="1"/>
    <s v="Delayed"/>
    <s v="Corporate"/>
    <s v="Machinery"/>
    <s v="Medium"/>
    <n v="4.9000000000000004"/>
    <n v="10"/>
    <s v="Yes"/>
    <s v="Needs Improvement"/>
  </r>
  <r>
    <s v="SHP1475"/>
    <d v="2026-03-13T00:00:00"/>
    <d v="2026-03-14T00:00:00"/>
    <d v="2026-03-18T00:00:00"/>
    <s v="Delhi"/>
    <s v="Mumbai"/>
    <x v="0"/>
    <n v="202"/>
    <x v="1"/>
    <n v="10"/>
    <n v="1616"/>
    <n v="10"/>
    <x v="14"/>
    <n v="1"/>
    <n v="3.1"/>
    <x v="2"/>
    <s v="Medium"/>
    <s v="Poor"/>
    <n v="1"/>
    <n v="4"/>
    <x v="3"/>
    <s v="Delayed"/>
    <s v="Retail"/>
    <s v="Furniture"/>
    <s v="High"/>
    <n v="4.7"/>
    <n v="8"/>
    <s v="Yes"/>
    <s v="Needs Improvement"/>
  </r>
  <r>
    <s v="SHP1476"/>
    <d v="2026-02-06T00:00:00"/>
    <d v="2026-02-06T00:00:00"/>
    <d v="2026-02-11T00:00:00"/>
    <s v="Indore"/>
    <s v="Hyderabad"/>
    <x v="5"/>
    <n v="1713"/>
    <x v="3"/>
    <n v="5"/>
    <n v="10278"/>
    <n v="8"/>
    <x v="4"/>
    <n v="2"/>
    <n v="4.7"/>
    <x v="3"/>
    <s v="Medium"/>
    <s v="Good"/>
    <n v="3"/>
    <n v="5"/>
    <x v="2"/>
    <s v="Delayed"/>
    <s v="Wholesale"/>
    <s v="Clothing"/>
    <s v="High"/>
    <n v="3.5"/>
    <n v="6"/>
    <s v="Yes"/>
    <s v="Needs Improvement"/>
  </r>
  <r>
    <s v="SHP1477"/>
    <d v="2026-04-07T00:00:00"/>
    <d v="2026-04-09T00:00:00"/>
    <d v="2026-04-10T00:00:00"/>
    <s v="Nagpur"/>
    <s v="Surat"/>
    <x v="6"/>
    <n v="759"/>
    <x v="2"/>
    <n v="6"/>
    <n v="6072"/>
    <n v="6"/>
    <x v="3"/>
    <n v="10"/>
    <n v="3.7"/>
    <x v="1"/>
    <s v="High"/>
    <s v="Good"/>
    <n v="1"/>
    <n v="1"/>
    <x v="0"/>
    <s v="On Time"/>
    <s v="Wholesale"/>
    <s v="Furniture"/>
    <s v="Medium"/>
    <n v="4.0999999999999996"/>
    <n v="8"/>
    <s v="No"/>
    <s v="Efficient"/>
  </r>
  <r>
    <s v="SHP1478"/>
    <d v="2026-03-31T00:00:00"/>
    <d v="2026-04-02T00:00:00"/>
    <d v="2026-04-09T00:00:00"/>
    <s v="Nagpur"/>
    <s v="Surat"/>
    <x v="6"/>
    <n v="1761"/>
    <x v="1"/>
    <n v="9"/>
    <n v="10566"/>
    <n v="10"/>
    <x v="12"/>
    <n v="2"/>
    <n v="4.0999999999999996"/>
    <x v="2"/>
    <s v="High"/>
    <s v="Good"/>
    <n v="3"/>
    <n v="7"/>
    <x v="4"/>
    <s v="Delayed"/>
    <s v="Retail"/>
    <s v="Food"/>
    <s v="Low"/>
    <n v="4.7"/>
    <n v="6"/>
    <s v="Yes"/>
    <s v="Needs Improvement"/>
  </r>
  <r>
    <s v="SHP1479"/>
    <d v="2026-04-14T00:00:00"/>
    <d v="2026-04-16T00:00:00"/>
    <d v="2026-04-17T00:00:00"/>
    <s v="Delhi"/>
    <s v="Mumbai"/>
    <x v="0"/>
    <n v="455"/>
    <x v="1"/>
    <n v="6"/>
    <n v="3185"/>
    <n v="8"/>
    <x v="33"/>
    <n v="4"/>
    <n v="4.5"/>
    <x v="3"/>
    <s v="High"/>
    <s v="Poor"/>
    <n v="1"/>
    <n v="1"/>
    <x v="0"/>
    <s v="On Time"/>
    <s v="Wholesale"/>
    <s v="Clothing"/>
    <s v="High"/>
    <n v="3.4"/>
    <n v="7"/>
    <s v="No"/>
    <s v="Efficient"/>
  </r>
  <r>
    <s v="SHP1480"/>
    <d v="2026-03-05T00:00:00"/>
    <d v="2026-03-06T00:00:00"/>
    <d v="2026-03-10T00:00:00"/>
    <s v="Delhi"/>
    <s v="Mumbai"/>
    <x v="0"/>
    <n v="774"/>
    <x v="1"/>
    <n v="10"/>
    <n v="5418"/>
    <n v="5"/>
    <x v="34"/>
    <n v="14"/>
    <n v="4.3"/>
    <x v="0"/>
    <s v="Medium"/>
    <s v="Poor"/>
    <n v="1"/>
    <n v="4"/>
    <x v="3"/>
    <s v="Delayed"/>
    <s v="Corporate"/>
    <s v="Machinery"/>
    <s v="Low"/>
    <n v="4.3"/>
    <n v="7"/>
    <s v="Yes"/>
    <s v="Needs Improvement"/>
  </r>
  <r>
    <s v="SHP1481"/>
    <d v="2026-03-14T00:00:00"/>
    <d v="2026-03-16T00:00:00"/>
    <d v="2026-03-19T00:00:00"/>
    <s v="Indore"/>
    <s v="Hyderabad"/>
    <x v="5"/>
    <n v="333"/>
    <x v="2"/>
    <n v="2"/>
    <n v="2331"/>
    <n v="7"/>
    <x v="16"/>
    <n v="14"/>
    <n v="3.5"/>
    <x v="3"/>
    <s v="Low"/>
    <s v="Poor"/>
    <n v="1"/>
    <n v="3"/>
    <x v="2"/>
    <s v="Delayed"/>
    <s v="Wholesale"/>
    <s v="Machinery"/>
    <s v="High"/>
    <n v="3.5"/>
    <n v="7"/>
    <s v="Yes"/>
    <s v="Needs Improvement"/>
  </r>
  <r>
    <s v="SHP1482"/>
    <d v="2026-03-13T00:00:00"/>
    <d v="2026-03-14T00:00:00"/>
    <d v="2026-03-16T00:00:00"/>
    <s v="Delhi"/>
    <s v="Mumbai"/>
    <x v="0"/>
    <n v="1074"/>
    <x v="3"/>
    <n v="6"/>
    <n v="9666"/>
    <n v="8"/>
    <x v="1"/>
    <n v="2"/>
    <n v="4.4000000000000004"/>
    <x v="2"/>
    <s v="Medium"/>
    <s v="Average"/>
    <n v="2"/>
    <n v="2"/>
    <x v="0"/>
    <s v="On Time"/>
    <s v="Wholesale"/>
    <s v="Furniture"/>
    <s v="Low"/>
    <n v="3.6"/>
    <n v="9"/>
    <s v="No"/>
    <s v="Efficient"/>
  </r>
  <r>
    <s v="SHP1483"/>
    <d v="2026-02-23T00:00:00"/>
    <d v="2026-02-25T00:00:00"/>
    <d v="2026-02-26T00:00:00"/>
    <s v="Nagpur"/>
    <s v="Surat"/>
    <x v="6"/>
    <n v="847"/>
    <x v="3"/>
    <n v="7"/>
    <n v="5929"/>
    <n v="7"/>
    <x v="18"/>
    <n v="15"/>
    <n v="4.0999999999999996"/>
    <x v="0"/>
    <s v="High"/>
    <s v="Good"/>
    <n v="1"/>
    <n v="1"/>
    <x v="0"/>
    <s v="On Time"/>
    <s v="Corporate"/>
    <s v="Furniture"/>
    <s v="Low"/>
    <n v="3.7"/>
    <n v="7"/>
    <s v="No"/>
    <s v="Efficient"/>
  </r>
  <r>
    <s v="SHP1484"/>
    <d v="2026-01-09T00:00:00"/>
    <d v="2026-01-11T00:00:00"/>
    <d v="2026-01-13T00:00:00"/>
    <s v="Bhopal"/>
    <s v="Pune"/>
    <x v="4"/>
    <n v="257"/>
    <x v="1"/>
    <n v="7"/>
    <n v="3084"/>
    <n v="5"/>
    <x v="30"/>
    <n v="13"/>
    <n v="4.3"/>
    <x v="3"/>
    <s v="Medium"/>
    <s v="Good"/>
    <n v="1"/>
    <n v="2"/>
    <x v="1"/>
    <s v="Delayed"/>
    <s v="Corporate"/>
    <s v="Clothing"/>
    <s v="Low"/>
    <n v="4.5999999999999996"/>
    <n v="12"/>
    <s v="Yes"/>
    <s v="Needs Improvement"/>
  </r>
  <r>
    <s v="SHP1485"/>
    <d v="2026-03-08T00:00:00"/>
    <d v="2026-03-08T00:00:00"/>
    <d v="2026-03-12T00:00:00"/>
    <s v="Bhopal"/>
    <s v="Pune"/>
    <x v="4"/>
    <n v="1788"/>
    <x v="1"/>
    <n v="2"/>
    <n v="19668"/>
    <n v="8"/>
    <x v="30"/>
    <n v="2"/>
    <n v="3.2"/>
    <x v="0"/>
    <s v="Low"/>
    <s v="Average"/>
    <n v="3"/>
    <n v="4"/>
    <x v="1"/>
    <s v="Delayed"/>
    <s v="Wholesale"/>
    <s v="Electronics"/>
    <s v="Low"/>
    <n v="3.1"/>
    <n v="11"/>
    <s v="Yes"/>
    <s v="Needs Improvement"/>
  </r>
  <r>
    <s v="SHP1486"/>
    <d v="2026-04-13T00:00:00"/>
    <d v="2026-04-14T00:00:00"/>
    <d v="2026-04-18T00:00:00"/>
    <s v="Delhi"/>
    <s v="Mumbai"/>
    <x v="0"/>
    <n v="817"/>
    <x v="1"/>
    <n v="2"/>
    <n v="4902"/>
    <n v="10"/>
    <x v="42"/>
    <n v="9"/>
    <n v="3.1"/>
    <x v="2"/>
    <s v="Medium"/>
    <s v="Good"/>
    <n v="1"/>
    <n v="4"/>
    <x v="3"/>
    <s v="Delayed"/>
    <s v="Corporate"/>
    <s v="Machinery"/>
    <s v="High"/>
    <n v="4.2"/>
    <n v="6"/>
    <s v="Yes"/>
    <s v="Needs Improvement"/>
  </r>
  <r>
    <s v="SHP1487"/>
    <d v="2026-02-28T00:00:00"/>
    <d v="2026-03-01T00:00:00"/>
    <d v="2026-03-03T00:00:00"/>
    <s v="Nagpur"/>
    <s v="Surat"/>
    <x v="6"/>
    <n v="1076"/>
    <x v="3"/>
    <n v="6"/>
    <n v="11836"/>
    <n v="10"/>
    <x v="27"/>
    <n v="8"/>
    <n v="4"/>
    <x v="1"/>
    <s v="Low"/>
    <s v="Good"/>
    <n v="2"/>
    <n v="2"/>
    <x v="0"/>
    <s v="On Time"/>
    <s v="Wholesale"/>
    <s v="Furniture"/>
    <s v="High"/>
    <n v="3.3"/>
    <n v="11"/>
    <s v="No"/>
    <s v="Efficient"/>
  </r>
  <r>
    <s v="SHP1488"/>
    <d v="2026-03-07T00:00:00"/>
    <d v="2026-03-08T00:00:00"/>
    <d v="2026-03-12T00:00:00"/>
    <s v="Ahmedabad"/>
    <s v="Jaipur"/>
    <x v="2"/>
    <n v="1062"/>
    <x v="1"/>
    <n v="10"/>
    <n v="9558"/>
    <n v="6"/>
    <x v="24"/>
    <n v="3"/>
    <n v="4.5999999999999996"/>
    <x v="0"/>
    <s v="Low"/>
    <s v="Average"/>
    <n v="2"/>
    <n v="4"/>
    <x v="2"/>
    <s v="Delayed"/>
    <s v="Retail"/>
    <s v="Machinery"/>
    <s v="High"/>
    <n v="4.5"/>
    <n v="9"/>
    <s v="Yes"/>
    <s v="Needs Improvement"/>
  </r>
  <r>
    <s v="SHP1489"/>
    <d v="2026-02-09T00:00:00"/>
    <d v="2026-02-11T00:00:00"/>
    <d v="2026-02-12T00:00:00"/>
    <s v="Indore"/>
    <s v="Hyderabad"/>
    <x v="5"/>
    <n v="501"/>
    <x v="1"/>
    <n v="5"/>
    <n v="5010"/>
    <n v="7"/>
    <x v="13"/>
    <n v="6"/>
    <n v="4.9000000000000004"/>
    <x v="1"/>
    <s v="Low"/>
    <s v="Good"/>
    <n v="1"/>
    <n v="1"/>
    <x v="0"/>
    <s v="On Time"/>
    <s v="Retail"/>
    <s v="Clothing"/>
    <s v="Low"/>
    <n v="5"/>
    <n v="10"/>
    <s v="No"/>
    <s v="Efficient"/>
  </r>
  <r>
    <s v="SHP1490"/>
    <d v="2026-03-23T00:00:00"/>
    <d v="2026-03-23T00:00:00"/>
    <d v="2026-03-25T00:00:00"/>
    <s v="Bhopal"/>
    <s v="Pune"/>
    <x v="4"/>
    <n v="899"/>
    <x v="2"/>
    <n v="8"/>
    <n v="9889"/>
    <n v="10"/>
    <x v="3"/>
    <n v="10"/>
    <n v="4.4000000000000004"/>
    <x v="3"/>
    <s v="High"/>
    <s v="Average"/>
    <n v="1"/>
    <n v="2"/>
    <x v="1"/>
    <s v="Delayed"/>
    <s v="Corporate"/>
    <s v="Food"/>
    <s v="Low"/>
    <n v="4"/>
    <n v="11"/>
    <s v="Yes"/>
    <s v="Needs Improvement"/>
  </r>
  <r>
    <s v="SHP1491"/>
    <d v="2026-04-28T00:00:00"/>
    <d v="2026-04-28T00:00:00"/>
    <d v="2026-05-02T00:00:00"/>
    <s v="Chennai"/>
    <s v="Bangalore"/>
    <x v="1"/>
    <n v="1619"/>
    <x v="2"/>
    <n v="8"/>
    <n v="16190"/>
    <n v="6"/>
    <x v="24"/>
    <n v="8"/>
    <n v="4.5"/>
    <x v="3"/>
    <s v="High"/>
    <s v="Average"/>
    <n v="3"/>
    <n v="4"/>
    <x v="1"/>
    <s v="Delayed"/>
    <s v="Corporate"/>
    <s v="Clothing"/>
    <s v="Low"/>
    <n v="3.1"/>
    <n v="10"/>
    <s v="Yes"/>
    <s v="Needs Improvement"/>
  </r>
  <r>
    <s v="SHP1492"/>
    <d v="2026-01-04T00:00:00"/>
    <d v="2026-01-06T00:00:00"/>
    <d v="2026-01-07T00:00:00"/>
    <s v="Bhopal"/>
    <s v="Pune"/>
    <x v="4"/>
    <n v="491"/>
    <x v="0"/>
    <n v="8"/>
    <n v="3437"/>
    <n v="10"/>
    <x v="30"/>
    <n v="15"/>
    <n v="4.5"/>
    <x v="0"/>
    <s v="Low"/>
    <s v="Good"/>
    <n v="1"/>
    <n v="1"/>
    <x v="0"/>
    <s v="On Time"/>
    <s v="Retail"/>
    <s v="Furniture"/>
    <s v="Low"/>
    <n v="4.8"/>
    <n v="7"/>
    <s v="No"/>
    <s v="Efficient"/>
  </r>
  <r>
    <s v="SHP1493"/>
    <d v="2026-04-03T00:00:00"/>
    <d v="2026-04-03T00:00:00"/>
    <d v="2026-04-05T00:00:00"/>
    <s v="Ahmedabad"/>
    <s v="Jaipur"/>
    <x v="2"/>
    <n v="1335"/>
    <x v="2"/>
    <n v="3"/>
    <n v="9345"/>
    <n v="5"/>
    <x v="49"/>
    <n v="14"/>
    <n v="3.5"/>
    <x v="0"/>
    <s v="Low"/>
    <s v="Poor"/>
    <n v="2"/>
    <n v="2"/>
    <x v="0"/>
    <s v="On Time"/>
    <s v="Retail"/>
    <s v="Electronics"/>
    <s v="Medium"/>
    <n v="4.9000000000000004"/>
    <n v="7"/>
    <s v="No"/>
    <s v="Efficient"/>
  </r>
  <r>
    <s v="SHP1494"/>
    <d v="2026-02-09T00:00:00"/>
    <d v="2026-02-10T00:00:00"/>
    <d v="2026-02-12T00:00:00"/>
    <s v="Chennai"/>
    <s v="Bangalore"/>
    <x v="1"/>
    <n v="957"/>
    <x v="0"/>
    <n v="3"/>
    <n v="9570"/>
    <n v="9"/>
    <x v="22"/>
    <n v="15"/>
    <n v="4.4000000000000004"/>
    <x v="0"/>
    <s v="Low"/>
    <s v="Good"/>
    <n v="2"/>
    <n v="2"/>
    <x v="0"/>
    <s v="On Time"/>
    <s v="Corporate"/>
    <s v="Machinery"/>
    <s v="Medium"/>
    <n v="4.4000000000000004"/>
    <n v="10"/>
    <s v="No"/>
    <s v="Efficient"/>
  </r>
  <r>
    <s v="SHP1495"/>
    <d v="2026-02-10T00:00:00"/>
    <d v="2026-02-12T00:00:00"/>
    <d v="2026-02-15T00:00:00"/>
    <s v="Lucknow"/>
    <s v="Delhi"/>
    <x v="7"/>
    <n v="1502"/>
    <x v="2"/>
    <n v="1"/>
    <n v="18024"/>
    <n v="9"/>
    <x v="30"/>
    <n v="4"/>
    <n v="4.7"/>
    <x v="3"/>
    <s v="Low"/>
    <s v="Average"/>
    <n v="3"/>
    <n v="3"/>
    <x v="0"/>
    <s v="On Time"/>
    <s v="Wholesale"/>
    <s v="Clothing"/>
    <s v="Low"/>
    <n v="4.7"/>
    <n v="12"/>
    <s v="No"/>
    <s v="Efficient"/>
  </r>
  <r>
    <s v="SHP1496"/>
    <d v="2026-03-16T00:00:00"/>
    <d v="2026-03-17T00:00:00"/>
    <d v="2026-03-24T00:00:00"/>
    <s v="Chennai"/>
    <s v="Bangalore"/>
    <x v="1"/>
    <n v="1689"/>
    <x v="3"/>
    <n v="8"/>
    <n v="20268"/>
    <n v="10"/>
    <x v="28"/>
    <n v="2"/>
    <n v="3.3"/>
    <x v="2"/>
    <s v="High"/>
    <s v="Poor"/>
    <n v="3"/>
    <n v="7"/>
    <x v="4"/>
    <s v="Delayed"/>
    <s v="Retail"/>
    <s v="Furniture"/>
    <s v="Medium"/>
    <n v="4.4000000000000004"/>
    <n v="12"/>
    <s v="Yes"/>
    <s v="Needs Improvement"/>
  </r>
  <r>
    <s v="SHP1497"/>
    <d v="2026-03-09T00:00:00"/>
    <d v="2026-03-11T00:00:00"/>
    <d v="2026-03-14T00:00:00"/>
    <s v="Nagpur"/>
    <s v="Surat"/>
    <x v="6"/>
    <n v="1665"/>
    <x v="1"/>
    <n v="8"/>
    <n v="13320"/>
    <n v="9"/>
    <x v="41"/>
    <n v="11"/>
    <n v="4.8"/>
    <x v="0"/>
    <s v="Low"/>
    <s v="Good"/>
    <n v="3"/>
    <n v="3"/>
    <x v="0"/>
    <s v="On Time"/>
    <s v="Retail"/>
    <s v="Furniture"/>
    <s v="Medium"/>
    <n v="3.4"/>
    <n v="8"/>
    <s v="No"/>
    <s v="Efficient"/>
  </r>
  <r>
    <s v="SHP1498"/>
    <d v="2026-02-24T00:00:00"/>
    <d v="2026-02-25T00:00:00"/>
    <d v="2026-03-02T00:00:00"/>
    <s v="Indore"/>
    <s v="Hyderabad"/>
    <x v="5"/>
    <n v="966"/>
    <x v="0"/>
    <n v="9"/>
    <n v="5796"/>
    <n v="6"/>
    <x v="40"/>
    <n v="2"/>
    <n v="3.6"/>
    <x v="3"/>
    <s v="Low"/>
    <s v="Poor"/>
    <n v="2"/>
    <n v="5"/>
    <x v="3"/>
    <s v="Delayed"/>
    <s v="Wholesale"/>
    <s v="Machinery"/>
    <s v="Medium"/>
    <n v="3.9"/>
    <n v="6"/>
    <s v="Yes"/>
    <s v="Needs Improvement"/>
  </r>
  <r>
    <s v="SHP1499"/>
    <d v="2026-03-01T00:00:00"/>
    <d v="2026-03-02T00:00:00"/>
    <d v="2026-03-06T00:00:00"/>
    <s v="Lucknow"/>
    <s v="Delhi"/>
    <x v="7"/>
    <n v="952"/>
    <x v="1"/>
    <n v="6"/>
    <n v="7616"/>
    <n v="8"/>
    <x v="27"/>
    <n v="3"/>
    <n v="3.9"/>
    <x v="3"/>
    <s v="High"/>
    <s v="Good"/>
    <n v="2"/>
    <n v="4"/>
    <x v="2"/>
    <s v="Delayed"/>
    <s v="Wholesale"/>
    <s v="Machinery"/>
    <s v="High"/>
    <n v="4.3"/>
    <n v="8"/>
    <s v="Yes"/>
    <s v="Needs Improvement"/>
  </r>
  <r>
    <s v="SHP1500"/>
    <d v="2026-04-11T00:00:00"/>
    <d v="2026-04-12T00:00:00"/>
    <d v="2026-04-15T00:00:00"/>
    <s v="Chennai"/>
    <s v="Bangalore"/>
    <x v="1"/>
    <n v="401"/>
    <x v="3"/>
    <n v="2"/>
    <n v="3208"/>
    <n v="5"/>
    <x v="2"/>
    <n v="4"/>
    <n v="3.7"/>
    <x v="3"/>
    <s v="Medium"/>
    <s v="Average"/>
    <n v="1"/>
    <n v="3"/>
    <x v="2"/>
    <s v="Delayed"/>
    <s v="Corporate"/>
    <s v="Machinery"/>
    <s v="Low"/>
    <n v="5"/>
    <n v="8"/>
    <s v="Yes"/>
    <s v="Needs Improveme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FDCF7-9CBD-41FC-BC9A-761B60D3FD1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3:B12" firstHeaderRow="1" firstDataRow="1" firstDataCol="1"/>
  <pivotFields count="29">
    <pivotField showAll="0"/>
    <pivotField numFmtId="14" showAll="0"/>
    <pivotField numFmtId="14" showAll="0"/>
    <pivotField numFmtId="14" showAll="0"/>
    <pivotField showAll="0"/>
    <pivotField showAll="0"/>
    <pivotField axis="axisRow" showAll="0">
      <items count="9">
        <item x="2"/>
        <item x="4"/>
        <item x="1"/>
        <item x="0"/>
        <item x="5"/>
        <item x="3"/>
        <item x="7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Delay_Days" fld="20" subtotal="average" baseField="6" baseItem="0"/>
  </dataFields>
  <formats count="2">
    <format dxfId="12">
      <pivotArea collapsedLevelsAreSubtotals="1" fieldPosition="0">
        <references count="1">
          <reference field="6" count="0"/>
        </references>
      </pivotArea>
    </format>
    <format dxfId="11">
      <pivotArea grandRow="1" outline="0" collapsedLevelsAreSubtotals="1" fieldPosition="0"/>
    </format>
  </formats>
  <chartFormats count="2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A9D92-1907-447D-9103-8772D99B7BB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29"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ay_Days" fld="20" subtotal="average" baseField="15" baseItem="0"/>
  </dataFields>
  <formats count="5">
    <format dxfId="10">
      <pivotArea collapsedLevelsAreSubtotals="1" fieldPosition="0">
        <references count="1">
          <reference field="15" count="1">
            <x v="0"/>
          </reference>
        </references>
      </pivotArea>
    </format>
    <format dxfId="9">
      <pivotArea collapsedLevelsAreSubtotals="1" fieldPosition="0">
        <references count="1">
          <reference field="15" count="1">
            <x v="1"/>
          </reference>
        </references>
      </pivotArea>
    </format>
    <format dxfId="8">
      <pivotArea collapsedLevelsAreSubtotals="1" fieldPosition="0">
        <references count="1">
          <reference field="15" count="1">
            <x v="2"/>
          </reference>
        </references>
      </pivotArea>
    </format>
    <format dxfId="7">
      <pivotArea collapsedLevelsAreSubtotals="1" fieldPosition="0">
        <references count="1">
          <reference field="15" count="1">
            <x v="3"/>
          </reference>
        </references>
      </pivotArea>
    </format>
    <format dxfId="6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259D3-FE91-4E7C-B75F-D646F2114B22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8" firstHeaderRow="1" firstDataRow="1" firstDataCol="1"/>
  <pivotFields count="29"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elay_Days" fld="20" subtotal="average" baseField="8" baseItem="0"/>
  </dataFields>
  <formats count="4">
    <format dxfId="5">
      <pivotArea collapsedLevelsAreSubtotals="1" fieldPosition="0">
        <references count="1">
          <reference field="8" count="1">
            <x v="0"/>
          </reference>
        </references>
      </pivotArea>
    </format>
    <format dxfId="4">
      <pivotArea collapsedLevelsAreSubtotals="1" fieldPosition="0">
        <references count="1">
          <reference field="8" count="1">
            <x v="1"/>
          </reference>
        </references>
      </pivotArea>
    </format>
    <format dxfId="3">
      <pivotArea collapsedLevelsAreSubtotals="1" fieldPosition="0">
        <references count="1">
          <reference field="8" count="1">
            <x v="2"/>
          </reference>
        </references>
      </pivotArea>
    </format>
    <format dxfId="2">
      <pivotArea collapsedLevelsAreSubtotals="1" fieldPosition="0">
        <references count="1">
          <reference field="8" count="1">
            <x v="3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11DB9-7056-48D3-BE8C-2CA217E5E4FD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3:C54" firstHeaderRow="0" firstDataRow="1" firstDataCol="1"/>
  <pivotFields count="29"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1">
        <item x="33"/>
        <item x="27"/>
        <item x="37"/>
        <item x="42"/>
        <item x="35"/>
        <item x="18"/>
        <item x="17"/>
        <item x="21"/>
        <item x="31"/>
        <item x="5"/>
        <item x="14"/>
        <item x="49"/>
        <item x="34"/>
        <item x="11"/>
        <item x="45"/>
        <item x="24"/>
        <item x="46"/>
        <item x="1"/>
        <item x="13"/>
        <item x="26"/>
        <item x="44"/>
        <item x="29"/>
        <item x="38"/>
        <item x="8"/>
        <item x="6"/>
        <item x="41"/>
        <item x="19"/>
        <item x="22"/>
        <item x="25"/>
        <item x="3"/>
        <item x="20"/>
        <item x="32"/>
        <item x="39"/>
        <item x="9"/>
        <item x="2"/>
        <item x="10"/>
        <item x="16"/>
        <item x="30"/>
        <item x="48"/>
        <item x="28"/>
        <item x="43"/>
        <item x="12"/>
        <item x="15"/>
        <item x="23"/>
        <item x="4"/>
        <item x="47"/>
        <item x="7"/>
        <item x="0"/>
        <item x="40"/>
        <item x="3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river_Rating" fld="14" subtotal="average" baseField="12" baseItem="0" numFmtId="2"/>
    <dataField name="Average of Delay_Days" fld="20" subtotal="average" baseField="12" baseItem="0" numFmtId="2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opLeftCell="E474" workbookViewId="0">
      <selection sqref="A1:Z501"/>
    </sheetView>
  </sheetViews>
  <sheetFormatPr defaultRowHeight="14.4" x14ac:dyDescent="0.3"/>
  <cols>
    <col min="1" max="1" width="9.6640625" customWidth="1"/>
    <col min="2" max="4" width="11.77734375" style="1" customWidth="1"/>
  </cols>
  <sheetData>
    <row r="1" spans="1:26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s="1">
        <v>46104</v>
      </c>
      <c r="C2" s="1">
        <v>46104</v>
      </c>
      <c r="D2" s="1">
        <v>46107</v>
      </c>
      <c r="E2" t="s">
        <v>27</v>
      </c>
      <c r="F2" t="s">
        <v>28</v>
      </c>
      <c r="G2" t="s">
        <v>29</v>
      </c>
      <c r="H2">
        <v>1718</v>
      </c>
      <c r="I2" t="s">
        <v>30</v>
      </c>
      <c r="J2">
        <v>4</v>
      </c>
      <c r="K2">
        <v>12026</v>
      </c>
      <c r="L2">
        <v>6</v>
      </c>
      <c r="M2" t="s">
        <v>31</v>
      </c>
      <c r="N2">
        <v>2</v>
      </c>
      <c r="O2">
        <v>4.4000000000000004</v>
      </c>
      <c r="P2" t="s">
        <v>32</v>
      </c>
      <c r="Q2" t="s">
        <v>33</v>
      </c>
      <c r="R2" t="s">
        <v>34</v>
      </c>
      <c r="S2">
        <v>3</v>
      </c>
      <c r="T2">
        <v>3</v>
      </c>
      <c r="U2">
        <v>0</v>
      </c>
      <c r="V2" t="s">
        <v>35</v>
      </c>
      <c r="W2" t="s">
        <v>36</v>
      </c>
      <c r="X2" t="s">
        <v>37</v>
      </c>
      <c r="Y2" t="s">
        <v>38</v>
      </c>
      <c r="Z2">
        <v>4</v>
      </c>
    </row>
    <row r="3" spans="1:26" x14ac:dyDescent="0.3">
      <c r="A3" t="s">
        <v>39</v>
      </c>
      <c r="B3" s="1">
        <v>46026</v>
      </c>
      <c r="C3" s="1">
        <v>46028</v>
      </c>
      <c r="D3" s="1">
        <v>46032</v>
      </c>
      <c r="E3" t="s">
        <v>40</v>
      </c>
      <c r="F3" t="s">
        <v>41</v>
      </c>
      <c r="G3" t="s">
        <v>42</v>
      </c>
      <c r="H3">
        <v>1666</v>
      </c>
      <c r="I3" t="s">
        <v>43</v>
      </c>
      <c r="J3">
        <v>4</v>
      </c>
      <c r="K3">
        <v>14994</v>
      </c>
      <c r="L3">
        <v>9</v>
      </c>
      <c r="M3" t="s">
        <v>44</v>
      </c>
      <c r="N3">
        <v>13</v>
      </c>
      <c r="O3">
        <v>4.7</v>
      </c>
      <c r="P3" t="s">
        <v>45</v>
      </c>
      <c r="Q3" t="s">
        <v>33</v>
      </c>
      <c r="R3" t="s">
        <v>34</v>
      </c>
      <c r="S3">
        <v>3</v>
      </c>
      <c r="T3">
        <v>4</v>
      </c>
      <c r="U3">
        <v>1</v>
      </c>
      <c r="V3" t="s">
        <v>46</v>
      </c>
      <c r="W3" t="s">
        <v>36</v>
      </c>
      <c r="X3" t="s">
        <v>47</v>
      </c>
      <c r="Y3" t="s">
        <v>38</v>
      </c>
      <c r="Z3">
        <v>3.2</v>
      </c>
    </row>
    <row r="4" spans="1:26" x14ac:dyDescent="0.3">
      <c r="A4" t="s">
        <v>48</v>
      </c>
      <c r="B4" s="1">
        <v>46035</v>
      </c>
      <c r="C4" s="1">
        <v>46036</v>
      </c>
      <c r="D4" s="1">
        <v>46041</v>
      </c>
      <c r="E4" t="s">
        <v>49</v>
      </c>
      <c r="F4" t="s">
        <v>50</v>
      </c>
      <c r="G4" t="s">
        <v>51</v>
      </c>
      <c r="H4">
        <v>1436</v>
      </c>
      <c r="I4" t="s">
        <v>30</v>
      </c>
      <c r="J4">
        <v>1</v>
      </c>
      <c r="K4">
        <v>15796</v>
      </c>
      <c r="L4">
        <v>8</v>
      </c>
      <c r="M4" t="s">
        <v>52</v>
      </c>
      <c r="N4">
        <v>2</v>
      </c>
      <c r="O4">
        <v>4.9000000000000004</v>
      </c>
      <c r="P4" t="s">
        <v>53</v>
      </c>
      <c r="Q4" t="s">
        <v>38</v>
      </c>
      <c r="R4" t="s">
        <v>54</v>
      </c>
      <c r="S4">
        <v>3</v>
      </c>
      <c r="T4">
        <v>5</v>
      </c>
      <c r="U4">
        <v>2</v>
      </c>
      <c r="V4" t="s">
        <v>46</v>
      </c>
      <c r="W4" t="s">
        <v>55</v>
      </c>
      <c r="X4" t="s">
        <v>37</v>
      </c>
      <c r="Y4" t="s">
        <v>33</v>
      </c>
      <c r="Z4">
        <v>3.1</v>
      </c>
    </row>
    <row r="5" spans="1:26" x14ac:dyDescent="0.3">
      <c r="A5" t="s">
        <v>56</v>
      </c>
      <c r="B5" s="1">
        <v>46107</v>
      </c>
      <c r="C5" s="1">
        <v>46107</v>
      </c>
      <c r="D5" s="1">
        <v>46109</v>
      </c>
      <c r="E5" t="s">
        <v>57</v>
      </c>
      <c r="F5" t="s">
        <v>58</v>
      </c>
      <c r="G5" t="s">
        <v>59</v>
      </c>
      <c r="H5">
        <v>363</v>
      </c>
      <c r="I5" t="s">
        <v>60</v>
      </c>
      <c r="J5">
        <v>2</v>
      </c>
      <c r="K5">
        <v>3267</v>
      </c>
      <c r="L5">
        <v>7</v>
      </c>
      <c r="M5" t="s">
        <v>61</v>
      </c>
      <c r="N5">
        <v>11</v>
      </c>
      <c r="O5">
        <v>4.7</v>
      </c>
      <c r="P5" t="s">
        <v>45</v>
      </c>
      <c r="Q5" t="s">
        <v>62</v>
      </c>
      <c r="R5" t="s">
        <v>34</v>
      </c>
      <c r="S5">
        <v>1</v>
      </c>
      <c r="T5">
        <v>2</v>
      </c>
      <c r="U5">
        <v>1</v>
      </c>
      <c r="V5" t="s">
        <v>46</v>
      </c>
      <c r="W5" t="s">
        <v>55</v>
      </c>
      <c r="X5" t="s">
        <v>63</v>
      </c>
      <c r="Y5" t="s">
        <v>33</v>
      </c>
      <c r="Z5">
        <v>4.3</v>
      </c>
    </row>
    <row r="6" spans="1:26" x14ac:dyDescent="0.3">
      <c r="A6" t="s">
        <v>64</v>
      </c>
      <c r="B6" s="1">
        <v>46091</v>
      </c>
      <c r="C6" s="1">
        <v>46093</v>
      </c>
      <c r="D6" s="1">
        <v>46095</v>
      </c>
      <c r="E6" t="s">
        <v>40</v>
      </c>
      <c r="F6" t="s">
        <v>41</v>
      </c>
      <c r="G6" t="s">
        <v>42</v>
      </c>
      <c r="H6">
        <v>534</v>
      </c>
      <c r="I6" t="s">
        <v>43</v>
      </c>
      <c r="J6">
        <v>7</v>
      </c>
      <c r="K6">
        <v>4272</v>
      </c>
      <c r="L6">
        <v>10</v>
      </c>
      <c r="M6" t="s">
        <v>65</v>
      </c>
      <c r="N6">
        <v>9</v>
      </c>
      <c r="O6">
        <v>3.4</v>
      </c>
      <c r="P6" t="s">
        <v>66</v>
      </c>
      <c r="Q6" t="s">
        <v>38</v>
      </c>
      <c r="R6" t="s">
        <v>67</v>
      </c>
      <c r="S6">
        <v>1</v>
      </c>
      <c r="T6">
        <v>2</v>
      </c>
      <c r="U6">
        <v>1</v>
      </c>
      <c r="V6" t="s">
        <v>46</v>
      </c>
      <c r="W6" t="s">
        <v>68</v>
      </c>
      <c r="X6" t="s">
        <v>47</v>
      </c>
      <c r="Y6" t="s">
        <v>38</v>
      </c>
      <c r="Z6">
        <v>3.4</v>
      </c>
    </row>
    <row r="7" spans="1:26" x14ac:dyDescent="0.3">
      <c r="A7" t="s">
        <v>69</v>
      </c>
      <c r="B7" s="1">
        <v>46143</v>
      </c>
      <c r="C7" s="1">
        <v>46145</v>
      </c>
      <c r="D7" s="1">
        <v>46149</v>
      </c>
      <c r="E7" t="s">
        <v>49</v>
      </c>
      <c r="F7" t="s">
        <v>50</v>
      </c>
      <c r="G7" t="s">
        <v>51</v>
      </c>
      <c r="H7">
        <v>635</v>
      </c>
      <c r="I7" t="s">
        <v>43</v>
      </c>
      <c r="J7">
        <v>7</v>
      </c>
      <c r="K7">
        <v>6985</v>
      </c>
      <c r="L7">
        <v>8</v>
      </c>
      <c r="M7" t="s">
        <v>70</v>
      </c>
      <c r="N7">
        <v>5</v>
      </c>
      <c r="O7">
        <v>3.3</v>
      </c>
      <c r="P7" t="s">
        <v>66</v>
      </c>
      <c r="Q7" t="s">
        <v>33</v>
      </c>
      <c r="R7" t="s">
        <v>54</v>
      </c>
      <c r="S7">
        <v>1</v>
      </c>
      <c r="T7">
        <v>4</v>
      </c>
      <c r="U7">
        <v>3</v>
      </c>
      <c r="V7" t="s">
        <v>46</v>
      </c>
      <c r="W7" t="s">
        <v>68</v>
      </c>
      <c r="X7" t="s">
        <v>37</v>
      </c>
      <c r="Y7" t="s">
        <v>38</v>
      </c>
      <c r="Z7">
        <v>4</v>
      </c>
    </row>
    <row r="8" spans="1:26" x14ac:dyDescent="0.3">
      <c r="A8" t="s">
        <v>71</v>
      </c>
      <c r="B8" s="1">
        <v>46034</v>
      </c>
      <c r="C8" s="1">
        <v>46034</v>
      </c>
      <c r="D8" s="1">
        <v>46035</v>
      </c>
      <c r="E8" t="s">
        <v>72</v>
      </c>
      <c r="F8" t="s">
        <v>73</v>
      </c>
      <c r="G8" t="s">
        <v>74</v>
      </c>
      <c r="H8">
        <v>513</v>
      </c>
      <c r="I8" t="s">
        <v>60</v>
      </c>
      <c r="J8">
        <v>7</v>
      </c>
      <c r="K8">
        <v>5130</v>
      </c>
      <c r="L8">
        <v>5</v>
      </c>
      <c r="M8" t="s">
        <v>75</v>
      </c>
      <c r="N8">
        <v>7</v>
      </c>
      <c r="O8">
        <v>4.2</v>
      </c>
      <c r="P8" t="s">
        <v>53</v>
      </c>
      <c r="Q8" t="s">
        <v>33</v>
      </c>
      <c r="R8" t="s">
        <v>34</v>
      </c>
      <c r="S8">
        <v>1</v>
      </c>
      <c r="T8">
        <v>1</v>
      </c>
      <c r="U8">
        <v>0</v>
      </c>
      <c r="V8" t="s">
        <v>35</v>
      </c>
      <c r="W8" t="s">
        <v>55</v>
      </c>
      <c r="X8" t="s">
        <v>76</v>
      </c>
      <c r="Y8" t="s">
        <v>62</v>
      </c>
      <c r="Z8">
        <v>4.5</v>
      </c>
    </row>
    <row r="9" spans="1:26" x14ac:dyDescent="0.3">
      <c r="A9" t="s">
        <v>77</v>
      </c>
      <c r="B9" s="1">
        <v>46066</v>
      </c>
      <c r="C9" s="1">
        <v>46066</v>
      </c>
      <c r="D9" s="1">
        <v>46072</v>
      </c>
      <c r="E9" t="s">
        <v>57</v>
      </c>
      <c r="F9" t="s">
        <v>58</v>
      </c>
      <c r="G9" t="s">
        <v>59</v>
      </c>
      <c r="H9">
        <v>1090</v>
      </c>
      <c r="I9" t="s">
        <v>60</v>
      </c>
      <c r="J9">
        <v>8</v>
      </c>
      <c r="K9">
        <v>6540</v>
      </c>
      <c r="L9">
        <v>10</v>
      </c>
      <c r="M9" t="s">
        <v>78</v>
      </c>
      <c r="N9">
        <v>5</v>
      </c>
      <c r="O9">
        <v>4.9000000000000004</v>
      </c>
      <c r="P9" t="s">
        <v>45</v>
      </c>
      <c r="Q9" t="s">
        <v>33</v>
      </c>
      <c r="R9" t="s">
        <v>67</v>
      </c>
      <c r="S9">
        <v>2</v>
      </c>
      <c r="T9">
        <v>6</v>
      </c>
      <c r="U9">
        <v>4</v>
      </c>
      <c r="V9" t="s">
        <v>46</v>
      </c>
      <c r="W9" t="s">
        <v>55</v>
      </c>
      <c r="X9" t="s">
        <v>37</v>
      </c>
      <c r="Y9" t="s">
        <v>38</v>
      </c>
      <c r="Z9">
        <v>3.7</v>
      </c>
    </row>
    <row r="10" spans="1:26" x14ac:dyDescent="0.3">
      <c r="A10" t="s">
        <v>79</v>
      </c>
      <c r="B10" s="1">
        <v>46043</v>
      </c>
      <c r="C10" s="1">
        <v>46045</v>
      </c>
      <c r="D10" s="1">
        <v>46050</v>
      </c>
      <c r="E10" t="s">
        <v>27</v>
      </c>
      <c r="F10" t="s">
        <v>28</v>
      </c>
      <c r="G10" t="s">
        <v>29</v>
      </c>
      <c r="H10">
        <v>1426</v>
      </c>
      <c r="I10" t="s">
        <v>30</v>
      </c>
      <c r="J10">
        <v>8</v>
      </c>
      <c r="K10">
        <v>8556</v>
      </c>
      <c r="L10">
        <v>5</v>
      </c>
      <c r="M10" t="s">
        <v>80</v>
      </c>
      <c r="N10">
        <v>15</v>
      </c>
      <c r="O10">
        <v>5</v>
      </c>
      <c r="P10" t="s">
        <v>66</v>
      </c>
      <c r="Q10" t="s">
        <v>38</v>
      </c>
      <c r="R10" t="s">
        <v>67</v>
      </c>
      <c r="S10">
        <v>3</v>
      </c>
      <c r="T10">
        <v>5</v>
      </c>
      <c r="U10">
        <v>2</v>
      </c>
      <c r="V10" t="s">
        <v>46</v>
      </c>
      <c r="W10" t="s">
        <v>36</v>
      </c>
      <c r="X10" t="s">
        <v>63</v>
      </c>
      <c r="Y10" t="s">
        <v>33</v>
      </c>
      <c r="Z10">
        <v>4</v>
      </c>
    </row>
    <row r="11" spans="1:26" x14ac:dyDescent="0.3">
      <c r="A11" t="s">
        <v>81</v>
      </c>
      <c r="B11" s="1">
        <v>46031</v>
      </c>
      <c r="C11" s="1">
        <v>46033</v>
      </c>
      <c r="D11" s="1">
        <v>46036</v>
      </c>
      <c r="E11" t="s">
        <v>82</v>
      </c>
      <c r="F11" t="s">
        <v>83</v>
      </c>
      <c r="G11" t="s">
        <v>84</v>
      </c>
      <c r="H11">
        <v>462</v>
      </c>
      <c r="I11" t="s">
        <v>43</v>
      </c>
      <c r="J11">
        <v>9</v>
      </c>
      <c r="K11">
        <v>3234</v>
      </c>
      <c r="L11">
        <v>7</v>
      </c>
      <c r="M11" t="s">
        <v>85</v>
      </c>
      <c r="N11">
        <v>14</v>
      </c>
      <c r="O11">
        <v>4.2</v>
      </c>
      <c r="P11" t="s">
        <v>45</v>
      </c>
      <c r="Q11" t="s">
        <v>33</v>
      </c>
      <c r="R11" t="s">
        <v>54</v>
      </c>
      <c r="S11">
        <v>1</v>
      </c>
      <c r="T11">
        <v>3</v>
      </c>
      <c r="U11">
        <v>2</v>
      </c>
      <c r="V11" t="s">
        <v>46</v>
      </c>
      <c r="W11" t="s">
        <v>68</v>
      </c>
      <c r="X11" t="s">
        <v>47</v>
      </c>
      <c r="Y11" t="s">
        <v>62</v>
      </c>
      <c r="Z11">
        <v>4.8</v>
      </c>
    </row>
    <row r="12" spans="1:26" x14ac:dyDescent="0.3">
      <c r="A12" t="s">
        <v>86</v>
      </c>
      <c r="B12" s="1">
        <v>46080</v>
      </c>
      <c r="C12" s="1">
        <v>46080</v>
      </c>
      <c r="D12" s="1">
        <v>46083</v>
      </c>
      <c r="E12" t="s">
        <v>40</v>
      </c>
      <c r="F12" t="s">
        <v>41</v>
      </c>
      <c r="G12" t="s">
        <v>42</v>
      </c>
      <c r="H12">
        <v>660</v>
      </c>
      <c r="I12" t="s">
        <v>87</v>
      </c>
      <c r="J12">
        <v>6</v>
      </c>
      <c r="K12">
        <v>3960</v>
      </c>
      <c r="L12">
        <v>9</v>
      </c>
      <c r="M12" t="s">
        <v>88</v>
      </c>
      <c r="N12">
        <v>4</v>
      </c>
      <c r="O12">
        <v>4.2</v>
      </c>
      <c r="P12" t="s">
        <v>32</v>
      </c>
      <c r="Q12" t="s">
        <v>38</v>
      </c>
      <c r="R12" t="s">
        <v>54</v>
      </c>
      <c r="S12">
        <v>1</v>
      </c>
      <c r="T12">
        <v>3</v>
      </c>
      <c r="U12">
        <v>2</v>
      </c>
      <c r="V12" t="s">
        <v>46</v>
      </c>
      <c r="W12" t="s">
        <v>36</v>
      </c>
      <c r="X12" t="s">
        <v>37</v>
      </c>
      <c r="Y12" t="s">
        <v>38</v>
      </c>
      <c r="Z12">
        <v>4.8</v>
      </c>
    </row>
    <row r="13" spans="1:26" x14ac:dyDescent="0.3">
      <c r="A13" t="s">
        <v>89</v>
      </c>
      <c r="B13" s="1">
        <v>46133</v>
      </c>
      <c r="C13" s="1">
        <v>46134</v>
      </c>
      <c r="D13" s="1">
        <v>46136</v>
      </c>
      <c r="E13" t="s">
        <v>72</v>
      </c>
      <c r="F13" t="s">
        <v>73</v>
      </c>
      <c r="G13" t="s">
        <v>74</v>
      </c>
      <c r="H13">
        <v>1252</v>
      </c>
      <c r="I13" t="s">
        <v>60</v>
      </c>
      <c r="J13">
        <v>5</v>
      </c>
      <c r="K13">
        <v>13772</v>
      </c>
      <c r="L13">
        <v>8</v>
      </c>
      <c r="M13" t="s">
        <v>90</v>
      </c>
      <c r="N13">
        <v>9</v>
      </c>
      <c r="O13">
        <v>3.3</v>
      </c>
      <c r="P13" t="s">
        <v>53</v>
      </c>
      <c r="Q13" t="s">
        <v>38</v>
      </c>
      <c r="R13" t="s">
        <v>34</v>
      </c>
      <c r="S13">
        <v>2</v>
      </c>
      <c r="T13">
        <v>2</v>
      </c>
      <c r="U13">
        <v>0</v>
      </c>
      <c r="V13" t="s">
        <v>35</v>
      </c>
      <c r="W13" t="s">
        <v>36</v>
      </c>
      <c r="X13" t="s">
        <v>63</v>
      </c>
      <c r="Y13" t="s">
        <v>33</v>
      </c>
      <c r="Z13">
        <v>3.9</v>
      </c>
    </row>
    <row r="14" spans="1:26" x14ac:dyDescent="0.3">
      <c r="A14" t="s">
        <v>91</v>
      </c>
      <c r="B14" s="1">
        <v>46077</v>
      </c>
      <c r="C14" s="1">
        <v>46078</v>
      </c>
      <c r="D14" s="1">
        <v>46081</v>
      </c>
      <c r="E14" t="s">
        <v>92</v>
      </c>
      <c r="F14" t="s">
        <v>93</v>
      </c>
      <c r="G14" t="s">
        <v>94</v>
      </c>
      <c r="H14">
        <v>1693</v>
      </c>
      <c r="I14" t="s">
        <v>87</v>
      </c>
      <c r="J14">
        <v>2</v>
      </c>
      <c r="K14">
        <v>10158</v>
      </c>
      <c r="L14">
        <v>8</v>
      </c>
      <c r="M14" t="s">
        <v>78</v>
      </c>
      <c r="N14">
        <v>6</v>
      </c>
      <c r="O14">
        <v>4.5999999999999996</v>
      </c>
      <c r="P14" t="s">
        <v>32</v>
      </c>
      <c r="Q14" t="s">
        <v>38</v>
      </c>
      <c r="R14" t="s">
        <v>67</v>
      </c>
      <c r="S14">
        <v>3</v>
      </c>
      <c r="T14">
        <v>3</v>
      </c>
      <c r="U14">
        <v>0</v>
      </c>
      <c r="V14" t="s">
        <v>35</v>
      </c>
      <c r="W14" t="s">
        <v>55</v>
      </c>
      <c r="X14" t="s">
        <v>95</v>
      </c>
      <c r="Y14" t="s">
        <v>38</v>
      </c>
      <c r="Z14">
        <v>3.8</v>
      </c>
    </row>
    <row r="15" spans="1:26" x14ac:dyDescent="0.3">
      <c r="A15" t="s">
        <v>96</v>
      </c>
      <c r="B15" s="1">
        <v>46058</v>
      </c>
      <c r="C15" s="1">
        <v>46059</v>
      </c>
      <c r="D15" s="1">
        <v>46061</v>
      </c>
      <c r="E15" t="s">
        <v>40</v>
      </c>
      <c r="F15" t="s">
        <v>41</v>
      </c>
      <c r="G15" t="s">
        <v>42</v>
      </c>
      <c r="H15">
        <v>354</v>
      </c>
      <c r="I15" t="s">
        <v>43</v>
      </c>
      <c r="J15">
        <v>9</v>
      </c>
      <c r="K15">
        <v>2124</v>
      </c>
      <c r="L15">
        <v>5</v>
      </c>
      <c r="M15" t="s">
        <v>97</v>
      </c>
      <c r="N15">
        <v>9</v>
      </c>
      <c r="O15">
        <v>4.7</v>
      </c>
      <c r="P15" t="s">
        <v>32</v>
      </c>
      <c r="Q15" t="s">
        <v>38</v>
      </c>
      <c r="R15" t="s">
        <v>67</v>
      </c>
      <c r="S15">
        <v>1</v>
      </c>
      <c r="T15">
        <v>2</v>
      </c>
      <c r="U15">
        <v>1</v>
      </c>
      <c r="V15" t="s">
        <v>46</v>
      </c>
      <c r="W15" t="s">
        <v>68</v>
      </c>
      <c r="X15" t="s">
        <v>95</v>
      </c>
      <c r="Y15" t="s">
        <v>38</v>
      </c>
      <c r="Z15">
        <v>4.7</v>
      </c>
    </row>
    <row r="16" spans="1:26" x14ac:dyDescent="0.3">
      <c r="A16" t="s">
        <v>98</v>
      </c>
      <c r="B16" s="1">
        <v>46138</v>
      </c>
      <c r="C16" s="1">
        <v>46138</v>
      </c>
      <c r="D16" s="1">
        <v>46140</v>
      </c>
      <c r="E16" t="s">
        <v>82</v>
      </c>
      <c r="F16" t="s">
        <v>83</v>
      </c>
      <c r="G16" t="s">
        <v>84</v>
      </c>
      <c r="H16">
        <v>976</v>
      </c>
      <c r="I16" t="s">
        <v>87</v>
      </c>
      <c r="J16">
        <v>7</v>
      </c>
      <c r="K16">
        <v>7808</v>
      </c>
      <c r="L16">
        <v>8</v>
      </c>
      <c r="M16" t="s">
        <v>99</v>
      </c>
      <c r="N16">
        <v>7</v>
      </c>
      <c r="O16">
        <v>4.4000000000000004</v>
      </c>
      <c r="P16" t="s">
        <v>53</v>
      </c>
      <c r="Q16" t="s">
        <v>38</v>
      </c>
      <c r="R16" t="s">
        <v>67</v>
      </c>
      <c r="S16">
        <v>2</v>
      </c>
      <c r="T16">
        <v>2</v>
      </c>
      <c r="U16">
        <v>0</v>
      </c>
      <c r="V16" t="s">
        <v>35</v>
      </c>
      <c r="W16" t="s">
        <v>36</v>
      </c>
      <c r="X16" t="s">
        <v>76</v>
      </c>
      <c r="Y16" t="s">
        <v>33</v>
      </c>
      <c r="Z16">
        <v>4.0999999999999996</v>
      </c>
    </row>
    <row r="17" spans="1:26" x14ac:dyDescent="0.3">
      <c r="A17" t="s">
        <v>100</v>
      </c>
      <c r="B17" s="1">
        <v>46118</v>
      </c>
      <c r="C17" s="1">
        <v>46119</v>
      </c>
      <c r="D17" s="1">
        <v>46122</v>
      </c>
      <c r="E17" t="s">
        <v>27</v>
      </c>
      <c r="F17" t="s">
        <v>28</v>
      </c>
      <c r="G17" t="s">
        <v>29</v>
      </c>
      <c r="H17">
        <v>302</v>
      </c>
      <c r="I17" t="s">
        <v>43</v>
      </c>
      <c r="J17">
        <v>9</v>
      </c>
      <c r="K17">
        <v>3624</v>
      </c>
      <c r="L17">
        <v>9</v>
      </c>
      <c r="M17" t="s">
        <v>101</v>
      </c>
      <c r="N17">
        <v>1</v>
      </c>
      <c r="O17">
        <v>4.9000000000000004</v>
      </c>
      <c r="P17" t="s">
        <v>32</v>
      </c>
      <c r="Q17" t="s">
        <v>38</v>
      </c>
      <c r="R17" t="s">
        <v>67</v>
      </c>
      <c r="S17">
        <v>1</v>
      </c>
      <c r="T17">
        <v>3</v>
      </c>
      <c r="U17">
        <v>2</v>
      </c>
      <c r="V17" t="s">
        <v>46</v>
      </c>
      <c r="W17" t="s">
        <v>36</v>
      </c>
      <c r="X17" t="s">
        <v>37</v>
      </c>
      <c r="Y17" t="s">
        <v>62</v>
      </c>
      <c r="Z17">
        <v>3.2</v>
      </c>
    </row>
    <row r="18" spans="1:26" x14ac:dyDescent="0.3">
      <c r="A18" t="s">
        <v>102</v>
      </c>
      <c r="B18" s="1">
        <v>46136</v>
      </c>
      <c r="C18" s="1">
        <v>46138</v>
      </c>
      <c r="D18" s="1">
        <v>46143</v>
      </c>
      <c r="E18" t="s">
        <v>40</v>
      </c>
      <c r="F18" t="s">
        <v>41</v>
      </c>
      <c r="G18" t="s">
        <v>42</v>
      </c>
      <c r="H18">
        <v>1385</v>
      </c>
      <c r="I18" t="s">
        <v>87</v>
      </c>
      <c r="J18">
        <v>10</v>
      </c>
      <c r="K18">
        <v>8310</v>
      </c>
      <c r="L18">
        <v>8</v>
      </c>
      <c r="M18" t="s">
        <v>103</v>
      </c>
      <c r="N18">
        <v>10</v>
      </c>
      <c r="O18">
        <v>4.0999999999999996</v>
      </c>
      <c r="P18" t="s">
        <v>66</v>
      </c>
      <c r="Q18" t="s">
        <v>62</v>
      </c>
      <c r="R18" t="s">
        <v>67</v>
      </c>
      <c r="S18">
        <v>3</v>
      </c>
      <c r="T18">
        <v>5</v>
      </c>
      <c r="U18">
        <v>2</v>
      </c>
      <c r="V18" t="s">
        <v>46</v>
      </c>
      <c r="W18" t="s">
        <v>36</v>
      </c>
      <c r="X18" t="s">
        <v>47</v>
      </c>
      <c r="Y18" t="s">
        <v>62</v>
      </c>
      <c r="Z18">
        <v>3.3</v>
      </c>
    </row>
    <row r="19" spans="1:26" x14ac:dyDescent="0.3">
      <c r="A19" t="s">
        <v>104</v>
      </c>
      <c r="B19" s="1">
        <v>46105</v>
      </c>
      <c r="C19" s="1">
        <v>46106</v>
      </c>
      <c r="D19" s="1">
        <v>46107</v>
      </c>
      <c r="E19" t="s">
        <v>92</v>
      </c>
      <c r="F19" t="s">
        <v>93</v>
      </c>
      <c r="G19" t="s">
        <v>94</v>
      </c>
      <c r="H19">
        <v>847</v>
      </c>
      <c r="I19" t="s">
        <v>87</v>
      </c>
      <c r="J19">
        <v>1</v>
      </c>
      <c r="K19">
        <v>7623</v>
      </c>
      <c r="L19">
        <v>9</v>
      </c>
      <c r="M19" t="s">
        <v>105</v>
      </c>
      <c r="N19">
        <v>2</v>
      </c>
      <c r="O19">
        <v>3.1</v>
      </c>
      <c r="P19" t="s">
        <v>45</v>
      </c>
      <c r="Q19" t="s">
        <v>33</v>
      </c>
      <c r="R19" t="s">
        <v>34</v>
      </c>
      <c r="S19">
        <v>1</v>
      </c>
      <c r="T19">
        <v>1</v>
      </c>
      <c r="U19">
        <v>0</v>
      </c>
      <c r="V19" t="s">
        <v>35</v>
      </c>
      <c r="W19" t="s">
        <v>36</v>
      </c>
      <c r="X19" t="s">
        <v>47</v>
      </c>
      <c r="Y19" t="s">
        <v>62</v>
      </c>
      <c r="Z19">
        <v>3.3</v>
      </c>
    </row>
    <row r="20" spans="1:26" x14ac:dyDescent="0.3">
      <c r="A20" t="s">
        <v>106</v>
      </c>
      <c r="B20" s="1">
        <v>46129</v>
      </c>
      <c r="C20" s="1">
        <v>46131</v>
      </c>
      <c r="D20" s="1">
        <v>46135</v>
      </c>
      <c r="E20" t="s">
        <v>57</v>
      </c>
      <c r="F20" t="s">
        <v>58</v>
      </c>
      <c r="G20" t="s">
        <v>59</v>
      </c>
      <c r="H20">
        <v>1452</v>
      </c>
      <c r="I20" t="s">
        <v>87</v>
      </c>
      <c r="J20">
        <v>9</v>
      </c>
      <c r="K20">
        <v>11616</v>
      </c>
      <c r="L20">
        <v>10</v>
      </c>
      <c r="M20" t="s">
        <v>107</v>
      </c>
      <c r="N20">
        <v>15</v>
      </c>
      <c r="O20">
        <v>3.3</v>
      </c>
      <c r="P20" t="s">
        <v>32</v>
      </c>
      <c r="Q20" t="s">
        <v>38</v>
      </c>
      <c r="R20" t="s">
        <v>54</v>
      </c>
      <c r="S20">
        <v>3</v>
      </c>
      <c r="T20">
        <v>4</v>
      </c>
      <c r="U20">
        <v>1</v>
      </c>
      <c r="V20" t="s">
        <v>46</v>
      </c>
      <c r="W20" t="s">
        <v>68</v>
      </c>
      <c r="X20" t="s">
        <v>47</v>
      </c>
      <c r="Y20" t="s">
        <v>33</v>
      </c>
      <c r="Z20">
        <v>3.4</v>
      </c>
    </row>
    <row r="21" spans="1:26" x14ac:dyDescent="0.3">
      <c r="A21" t="s">
        <v>108</v>
      </c>
      <c r="B21" s="1">
        <v>46066</v>
      </c>
      <c r="C21" s="1">
        <v>46066</v>
      </c>
      <c r="D21" s="1">
        <v>46068</v>
      </c>
      <c r="E21" t="s">
        <v>57</v>
      </c>
      <c r="F21" t="s">
        <v>58</v>
      </c>
      <c r="G21" t="s">
        <v>59</v>
      </c>
      <c r="H21">
        <v>1235</v>
      </c>
      <c r="I21" t="s">
        <v>43</v>
      </c>
      <c r="J21">
        <v>5</v>
      </c>
      <c r="K21">
        <v>14820</v>
      </c>
      <c r="L21">
        <v>5</v>
      </c>
      <c r="M21" t="s">
        <v>109</v>
      </c>
      <c r="N21">
        <v>11</v>
      </c>
      <c r="O21">
        <v>3.8</v>
      </c>
      <c r="P21" t="s">
        <v>66</v>
      </c>
      <c r="Q21" t="s">
        <v>38</v>
      </c>
      <c r="R21" t="s">
        <v>67</v>
      </c>
      <c r="S21">
        <v>2</v>
      </c>
      <c r="T21">
        <v>2</v>
      </c>
      <c r="U21">
        <v>0</v>
      </c>
      <c r="V21" t="s">
        <v>35</v>
      </c>
      <c r="W21" t="s">
        <v>55</v>
      </c>
      <c r="X21" t="s">
        <v>47</v>
      </c>
      <c r="Y21" t="s">
        <v>38</v>
      </c>
      <c r="Z21">
        <v>4.5</v>
      </c>
    </row>
    <row r="22" spans="1:26" x14ac:dyDescent="0.3">
      <c r="A22" t="s">
        <v>110</v>
      </c>
      <c r="B22" s="1">
        <v>46093</v>
      </c>
      <c r="C22" s="1">
        <v>46095</v>
      </c>
      <c r="D22" s="1">
        <v>46098</v>
      </c>
      <c r="E22" t="s">
        <v>111</v>
      </c>
      <c r="F22" t="s">
        <v>27</v>
      </c>
      <c r="G22" t="s">
        <v>112</v>
      </c>
      <c r="H22">
        <v>1348</v>
      </c>
      <c r="I22" t="s">
        <v>87</v>
      </c>
      <c r="J22">
        <v>2</v>
      </c>
      <c r="K22">
        <v>8088</v>
      </c>
      <c r="L22">
        <v>10</v>
      </c>
      <c r="M22" t="s">
        <v>70</v>
      </c>
      <c r="N22">
        <v>9</v>
      </c>
      <c r="O22">
        <v>3.1</v>
      </c>
      <c r="P22" t="s">
        <v>66</v>
      </c>
      <c r="Q22" t="s">
        <v>33</v>
      </c>
      <c r="R22" t="s">
        <v>54</v>
      </c>
      <c r="S22">
        <v>2</v>
      </c>
      <c r="T22">
        <v>3</v>
      </c>
      <c r="U22">
        <v>1</v>
      </c>
      <c r="V22" t="s">
        <v>46</v>
      </c>
      <c r="W22" t="s">
        <v>36</v>
      </c>
      <c r="X22" t="s">
        <v>47</v>
      </c>
      <c r="Y22" t="s">
        <v>62</v>
      </c>
      <c r="Z22">
        <v>4.8</v>
      </c>
    </row>
    <row r="23" spans="1:26" x14ac:dyDescent="0.3">
      <c r="A23" t="s">
        <v>113</v>
      </c>
      <c r="B23" s="1">
        <v>46124</v>
      </c>
      <c r="C23" s="1">
        <v>46124</v>
      </c>
      <c r="D23" s="1">
        <v>46125</v>
      </c>
      <c r="E23" t="s">
        <v>49</v>
      </c>
      <c r="F23" t="s">
        <v>50</v>
      </c>
      <c r="G23" t="s">
        <v>51</v>
      </c>
      <c r="H23">
        <v>630</v>
      </c>
      <c r="I23" t="s">
        <v>60</v>
      </c>
      <c r="J23">
        <v>2</v>
      </c>
      <c r="K23">
        <v>5040</v>
      </c>
      <c r="L23">
        <v>9</v>
      </c>
      <c r="M23" t="s">
        <v>114</v>
      </c>
      <c r="N23">
        <v>10</v>
      </c>
      <c r="O23">
        <v>4.5</v>
      </c>
      <c r="P23" t="s">
        <v>45</v>
      </c>
      <c r="Q23" t="s">
        <v>38</v>
      </c>
      <c r="R23" t="s">
        <v>67</v>
      </c>
      <c r="S23">
        <v>1</v>
      </c>
      <c r="T23">
        <v>1</v>
      </c>
      <c r="U23">
        <v>0</v>
      </c>
      <c r="V23" t="s">
        <v>35</v>
      </c>
      <c r="W23" t="s">
        <v>36</v>
      </c>
      <c r="X23" t="s">
        <v>47</v>
      </c>
      <c r="Y23" t="s">
        <v>62</v>
      </c>
      <c r="Z23">
        <v>4.5999999999999996</v>
      </c>
    </row>
    <row r="24" spans="1:26" x14ac:dyDescent="0.3">
      <c r="A24" t="s">
        <v>115</v>
      </c>
      <c r="B24" s="1">
        <v>46133</v>
      </c>
      <c r="C24" s="1">
        <v>46135</v>
      </c>
      <c r="D24" s="1">
        <v>46136</v>
      </c>
      <c r="E24" t="s">
        <v>40</v>
      </c>
      <c r="F24" t="s">
        <v>41</v>
      </c>
      <c r="G24" t="s">
        <v>42</v>
      </c>
      <c r="H24">
        <v>746</v>
      </c>
      <c r="I24" t="s">
        <v>60</v>
      </c>
      <c r="J24">
        <v>2</v>
      </c>
      <c r="K24">
        <v>6714</v>
      </c>
      <c r="L24">
        <v>5</v>
      </c>
      <c r="M24" t="s">
        <v>116</v>
      </c>
      <c r="N24">
        <v>4</v>
      </c>
      <c r="O24">
        <v>3.4</v>
      </c>
      <c r="P24" t="s">
        <v>53</v>
      </c>
      <c r="Q24" t="s">
        <v>62</v>
      </c>
      <c r="R24" t="s">
        <v>34</v>
      </c>
      <c r="S24">
        <v>1</v>
      </c>
      <c r="T24">
        <v>1</v>
      </c>
      <c r="U24">
        <v>0</v>
      </c>
      <c r="V24" t="s">
        <v>35</v>
      </c>
      <c r="W24" t="s">
        <v>36</v>
      </c>
      <c r="X24" t="s">
        <v>37</v>
      </c>
      <c r="Y24" t="s">
        <v>62</v>
      </c>
      <c r="Z24">
        <v>3.7</v>
      </c>
    </row>
    <row r="25" spans="1:26" x14ac:dyDescent="0.3">
      <c r="A25" t="s">
        <v>117</v>
      </c>
      <c r="B25" s="1">
        <v>46133</v>
      </c>
      <c r="C25" s="1">
        <v>46133</v>
      </c>
      <c r="D25" s="1">
        <v>46138</v>
      </c>
      <c r="E25" t="s">
        <v>57</v>
      </c>
      <c r="F25" t="s">
        <v>58</v>
      </c>
      <c r="G25" t="s">
        <v>59</v>
      </c>
      <c r="H25">
        <v>919</v>
      </c>
      <c r="I25" t="s">
        <v>43</v>
      </c>
      <c r="J25">
        <v>9</v>
      </c>
      <c r="K25">
        <v>7352</v>
      </c>
      <c r="L25">
        <v>5</v>
      </c>
      <c r="M25" t="s">
        <v>118</v>
      </c>
      <c r="N25">
        <v>15</v>
      </c>
      <c r="O25">
        <v>4.9000000000000004</v>
      </c>
      <c r="P25" t="s">
        <v>45</v>
      </c>
      <c r="Q25" t="s">
        <v>33</v>
      </c>
      <c r="R25" t="s">
        <v>34</v>
      </c>
      <c r="S25">
        <v>2</v>
      </c>
      <c r="T25">
        <v>5</v>
      </c>
      <c r="U25">
        <v>3</v>
      </c>
      <c r="V25" t="s">
        <v>46</v>
      </c>
      <c r="W25" t="s">
        <v>68</v>
      </c>
      <c r="X25" t="s">
        <v>47</v>
      </c>
      <c r="Y25" t="s">
        <v>62</v>
      </c>
      <c r="Z25">
        <v>4.2</v>
      </c>
    </row>
    <row r="26" spans="1:26" x14ac:dyDescent="0.3">
      <c r="A26" t="s">
        <v>119</v>
      </c>
      <c r="B26" s="1">
        <v>46088</v>
      </c>
      <c r="C26" s="1">
        <v>46088</v>
      </c>
      <c r="D26" s="1">
        <v>46092</v>
      </c>
      <c r="E26" t="s">
        <v>111</v>
      </c>
      <c r="F26" t="s">
        <v>27</v>
      </c>
      <c r="G26" t="s">
        <v>112</v>
      </c>
      <c r="H26">
        <v>1380</v>
      </c>
      <c r="I26" t="s">
        <v>60</v>
      </c>
      <c r="J26">
        <v>5</v>
      </c>
      <c r="K26">
        <v>8280</v>
      </c>
      <c r="L26">
        <v>10</v>
      </c>
      <c r="M26" t="s">
        <v>120</v>
      </c>
      <c r="N26">
        <v>1</v>
      </c>
      <c r="O26">
        <v>4</v>
      </c>
      <c r="P26" t="s">
        <v>45</v>
      </c>
      <c r="Q26" t="s">
        <v>62</v>
      </c>
      <c r="R26" t="s">
        <v>34</v>
      </c>
      <c r="S26">
        <v>3</v>
      </c>
      <c r="T26">
        <v>4</v>
      </c>
      <c r="U26">
        <v>1</v>
      </c>
      <c r="V26" t="s">
        <v>46</v>
      </c>
      <c r="W26" t="s">
        <v>55</v>
      </c>
      <c r="X26" t="s">
        <v>47</v>
      </c>
      <c r="Y26" t="s">
        <v>33</v>
      </c>
      <c r="Z26">
        <v>4.7</v>
      </c>
    </row>
    <row r="27" spans="1:26" x14ac:dyDescent="0.3">
      <c r="A27" t="s">
        <v>121</v>
      </c>
      <c r="B27" s="1">
        <v>46115</v>
      </c>
      <c r="C27" s="1">
        <v>46116</v>
      </c>
      <c r="D27" s="1">
        <v>46123</v>
      </c>
      <c r="E27" t="s">
        <v>57</v>
      </c>
      <c r="F27" t="s">
        <v>58</v>
      </c>
      <c r="G27" t="s">
        <v>59</v>
      </c>
      <c r="H27">
        <v>1565</v>
      </c>
      <c r="I27" t="s">
        <v>43</v>
      </c>
      <c r="J27">
        <v>6</v>
      </c>
      <c r="K27">
        <v>14085</v>
      </c>
      <c r="L27">
        <v>10</v>
      </c>
      <c r="M27" t="s">
        <v>99</v>
      </c>
      <c r="N27">
        <v>9</v>
      </c>
      <c r="O27">
        <v>3.3</v>
      </c>
      <c r="P27" t="s">
        <v>53</v>
      </c>
      <c r="Q27" t="s">
        <v>33</v>
      </c>
      <c r="R27" t="s">
        <v>34</v>
      </c>
      <c r="S27">
        <v>3</v>
      </c>
      <c r="T27">
        <v>7</v>
      </c>
      <c r="U27">
        <v>4</v>
      </c>
      <c r="V27" t="s">
        <v>46</v>
      </c>
      <c r="W27" t="s">
        <v>68</v>
      </c>
      <c r="X27" t="s">
        <v>95</v>
      </c>
      <c r="Y27" t="s">
        <v>33</v>
      </c>
      <c r="Z27">
        <v>4.7</v>
      </c>
    </row>
    <row r="28" spans="1:26" x14ac:dyDescent="0.3">
      <c r="A28" t="s">
        <v>122</v>
      </c>
      <c r="B28" s="1">
        <v>46061</v>
      </c>
      <c r="C28" s="1">
        <v>46062</v>
      </c>
      <c r="D28" s="1">
        <v>46069</v>
      </c>
      <c r="E28" t="s">
        <v>40</v>
      </c>
      <c r="F28" t="s">
        <v>41</v>
      </c>
      <c r="G28" t="s">
        <v>42</v>
      </c>
      <c r="H28">
        <v>1080</v>
      </c>
      <c r="I28" t="s">
        <v>30</v>
      </c>
      <c r="J28">
        <v>8</v>
      </c>
      <c r="K28">
        <v>9720</v>
      </c>
      <c r="L28">
        <v>8</v>
      </c>
      <c r="M28" t="s">
        <v>123</v>
      </c>
      <c r="N28">
        <v>4</v>
      </c>
      <c r="O28">
        <v>4</v>
      </c>
      <c r="P28" t="s">
        <v>45</v>
      </c>
      <c r="Q28" t="s">
        <v>33</v>
      </c>
      <c r="R28" t="s">
        <v>67</v>
      </c>
      <c r="S28">
        <v>2</v>
      </c>
      <c r="T28">
        <v>7</v>
      </c>
      <c r="U28">
        <v>5</v>
      </c>
      <c r="V28" t="s">
        <v>46</v>
      </c>
      <c r="W28" t="s">
        <v>55</v>
      </c>
      <c r="X28" t="s">
        <v>76</v>
      </c>
      <c r="Y28" t="s">
        <v>62</v>
      </c>
      <c r="Z28">
        <v>3.2</v>
      </c>
    </row>
    <row r="29" spans="1:26" x14ac:dyDescent="0.3">
      <c r="A29" t="s">
        <v>124</v>
      </c>
      <c r="B29" s="1">
        <v>46119</v>
      </c>
      <c r="C29" s="1">
        <v>46119</v>
      </c>
      <c r="D29" s="1">
        <v>46120</v>
      </c>
      <c r="E29" t="s">
        <v>57</v>
      </c>
      <c r="F29" t="s">
        <v>58</v>
      </c>
      <c r="G29" t="s">
        <v>59</v>
      </c>
      <c r="H29">
        <v>660</v>
      </c>
      <c r="I29" t="s">
        <v>60</v>
      </c>
      <c r="J29">
        <v>3</v>
      </c>
      <c r="K29">
        <v>3960</v>
      </c>
      <c r="L29">
        <v>5</v>
      </c>
      <c r="M29" t="s">
        <v>125</v>
      </c>
      <c r="N29">
        <v>8</v>
      </c>
      <c r="O29">
        <v>4.2</v>
      </c>
      <c r="P29" t="s">
        <v>32</v>
      </c>
      <c r="Q29" t="s">
        <v>62</v>
      </c>
      <c r="R29" t="s">
        <v>34</v>
      </c>
      <c r="S29">
        <v>1</v>
      </c>
      <c r="T29">
        <v>1</v>
      </c>
      <c r="U29">
        <v>0</v>
      </c>
      <c r="V29" t="s">
        <v>35</v>
      </c>
      <c r="W29" t="s">
        <v>55</v>
      </c>
      <c r="X29" t="s">
        <v>95</v>
      </c>
      <c r="Y29" t="s">
        <v>62</v>
      </c>
      <c r="Z29">
        <v>3.8</v>
      </c>
    </row>
    <row r="30" spans="1:26" x14ac:dyDescent="0.3">
      <c r="A30" t="s">
        <v>126</v>
      </c>
      <c r="B30" s="1">
        <v>46041</v>
      </c>
      <c r="C30" s="1">
        <v>46043</v>
      </c>
      <c r="D30" s="1">
        <v>46047</v>
      </c>
      <c r="E30" t="s">
        <v>27</v>
      </c>
      <c r="F30" t="s">
        <v>28</v>
      </c>
      <c r="G30" t="s">
        <v>29</v>
      </c>
      <c r="H30">
        <v>1737</v>
      </c>
      <c r="I30" t="s">
        <v>87</v>
      </c>
      <c r="J30">
        <v>7</v>
      </c>
      <c r="K30">
        <v>12159</v>
      </c>
      <c r="L30">
        <v>6</v>
      </c>
      <c r="M30" t="s">
        <v>65</v>
      </c>
      <c r="N30">
        <v>9</v>
      </c>
      <c r="O30">
        <v>3.9</v>
      </c>
      <c r="P30" t="s">
        <v>45</v>
      </c>
      <c r="Q30" t="s">
        <v>38</v>
      </c>
      <c r="R30" t="s">
        <v>34</v>
      </c>
      <c r="S30">
        <v>3</v>
      </c>
      <c r="T30">
        <v>4</v>
      </c>
      <c r="U30">
        <v>1</v>
      </c>
      <c r="V30" t="s">
        <v>46</v>
      </c>
      <c r="W30" t="s">
        <v>55</v>
      </c>
      <c r="X30" t="s">
        <v>76</v>
      </c>
      <c r="Y30" t="s">
        <v>33</v>
      </c>
      <c r="Z30">
        <v>4.2</v>
      </c>
    </row>
    <row r="31" spans="1:26" x14ac:dyDescent="0.3">
      <c r="A31" t="s">
        <v>127</v>
      </c>
      <c r="B31" s="1">
        <v>46119</v>
      </c>
      <c r="C31" s="1">
        <v>46120</v>
      </c>
      <c r="D31" s="1">
        <v>46125</v>
      </c>
      <c r="E31" t="s">
        <v>111</v>
      </c>
      <c r="F31" t="s">
        <v>27</v>
      </c>
      <c r="G31" t="s">
        <v>112</v>
      </c>
      <c r="H31">
        <v>1322</v>
      </c>
      <c r="I31" t="s">
        <v>43</v>
      </c>
      <c r="J31">
        <v>3</v>
      </c>
      <c r="K31">
        <v>14542</v>
      </c>
      <c r="L31">
        <v>8</v>
      </c>
      <c r="M31" t="s">
        <v>128</v>
      </c>
      <c r="N31">
        <v>5</v>
      </c>
      <c r="O31">
        <v>4.5</v>
      </c>
      <c r="P31" t="s">
        <v>66</v>
      </c>
      <c r="Q31" t="s">
        <v>33</v>
      </c>
      <c r="R31" t="s">
        <v>34</v>
      </c>
      <c r="S31">
        <v>2</v>
      </c>
      <c r="T31">
        <v>5</v>
      </c>
      <c r="U31">
        <v>3</v>
      </c>
      <c r="V31" t="s">
        <v>46</v>
      </c>
      <c r="W31" t="s">
        <v>36</v>
      </c>
      <c r="X31" t="s">
        <v>47</v>
      </c>
      <c r="Y31" t="s">
        <v>38</v>
      </c>
      <c r="Z31">
        <v>3.5</v>
      </c>
    </row>
    <row r="32" spans="1:26" x14ac:dyDescent="0.3">
      <c r="A32" t="s">
        <v>129</v>
      </c>
      <c r="B32" s="1">
        <v>46063</v>
      </c>
      <c r="C32" s="1">
        <v>46065</v>
      </c>
      <c r="D32" s="1">
        <v>46069</v>
      </c>
      <c r="E32" t="s">
        <v>72</v>
      </c>
      <c r="F32" t="s">
        <v>73</v>
      </c>
      <c r="G32" t="s">
        <v>74</v>
      </c>
      <c r="H32">
        <v>483</v>
      </c>
      <c r="I32" t="s">
        <v>60</v>
      </c>
      <c r="J32">
        <v>4</v>
      </c>
      <c r="K32">
        <v>4347</v>
      </c>
      <c r="L32">
        <v>10</v>
      </c>
      <c r="M32" t="s">
        <v>70</v>
      </c>
      <c r="N32">
        <v>12</v>
      </c>
      <c r="O32">
        <v>3.4</v>
      </c>
      <c r="P32" t="s">
        <v>53</v>
      </c>
      <c r="Q32" t="s">
        <v>62</v>
      </c>
      <c r="R32" t="s">
        <v>34</v>
      </c>
      <c r="S32">
        <v>1</v>
      </c>
      <c r="T32">
        <v>4</v>
      </c>
      <c r="U32">
        <v>3</v>
      </c>
      <c r="V32" t="s">
        <v>46</v>
      </c>
      <c r="W32" t="s">
        <v>68</v>
      </c>
      <c r="X32" t="s">
        <v>63</v>
      </c>
      <c r="Y32" t="s">
        <v>38</v>
      </c>
      <c r="Z32">
        <v>4.7</v>
      </c>
    </row>
    <row r="33" spans="1:26" x14ac:dyDescent="0.3">
      <c r="A33" t="s">
        <v>130</v>
      </c>
      <c r="B33" s="1">
        <v>46072</v>
      </c>
      <c r="C33" s="1">
        <v>46074</v>
      </c>
      <c r="D33" s="1">
        <v>46078</v>
      </c>
      <c r="E33" t="s">
        <v>27</v>
      </c>
      <c r="F33" t="s">
        <v>28</v>
      </c>
      <c r="G33" t="s">
        <v>29</v>
      </c>
      <c r="H33">
        <v>1767</v>
      </c>
      <c r="I33" t="s">
        <v>43</v>
      </c>
      <c r="J33">
        <v>8</v>
      </c>
      <c r="K33">
        <v>10602</v>
      </c>
      <c r="L33">
        <v>7</v>
      </c>
      <c r="M33" t="s">
        <v>131</v>
      </c>
      <c r="N33">
        <v>13</v>
      </c>
      <c r="O33">
        <v>3.8</v>
      </c>
      <c r="P33" t="s">
        <v>53</v>
      </c>
      <c r="Q33" t="s">
        <v>33</v>
      </c>
      <c r="R33" t="s">
        <v>54</v>
      </c>
      <c r="S33">
        <v>3</v>
      </c>
      <c r="T33">
        <v>4</v>
      </c>
      <c r="U33">
        <v>1</v>
      </c>
      <c r="V33" t="s">
        <v>46</v>
      </c>
      <c r="W33" t="s">
        <v>68</v>
      </c>
      <c r="X33" t="s">
        <v>95</v>
      </c>
      <c r="Y33" t="s">
        <v>62</v>
      </c>
      <c r="Z33">
        <v>3.1</v>
      </c>
    </row>
    <row r="34" spans="1:26" x14ac:dyDescent="0.3">
      <c r="A34" t="s">
        <v>132</v>
      </c>
      <c r="B34" s="1">
        <v>46066</v>
      </c>
      <c r="C34" s="1">
        <v>46068</v>
      </c>
      <c r="D34" s="1">
        <v>46074</v>
      </c>
      <c r="E34" t="s">
        <v>111</v>
      </c>
      <c r="F34" t="s">
        <v>27</v>
      </c>
      <c r="G34" t="s">
        <v>112</v>
      </c>
      <c r="H34">
        <v>1683</v>
      </c>
      <c r="I34" t="s">
        <v>60</v>
      </c>
      <c r="J34">
        <v>8</v>
      </c>
      <c r="K34">
        <v>11781</v>
      </c>
      <c r="L34">
        <v>9</v>
      </c>
      <c r="M34" t="s">
        <v>52</v>
      </c>
      <c r="N34">
        <v>1</v>
      </c>
      <c r="O34">
        <v>4.8</v>
      </c>
      <c r="P34" t="s">
        <v>32</v>
      </c>
      <c r="Q34" t="s">
        <v>38</v>
      </c>
      <c r="R34" t="s">
        <v>54</v>
      </c>
      <c r="S34">
        <v>3</v>
      </c>
      <c r="T34">
        <v>6</v>
      </c>
      <c r="U34">
        <v>3</v>
      </c>
      <c r="V34" t="s">
        <v>46</v>
      </c>
      <c r="W34" t="s">
        <v>36</v>
      </c>
      <c r="X34" t="s">
        <v>95</v>
      </c>
      <c r="Y34" t="s">
        <v>38</v>
      </c>
      <c r="Z34">
        <v>3.1</v>
      </c>
    </row>
    <row r="35" spans="1:26" x14ac:dyDescent="0.3">
      <c r="A35" t="s">
        <v>133</v>
      </c>
      <c r="B35" s="1">
        <v>46071</v>
      </c>
      <c r="C35" s="1">
        <v>46072</v>
      </c>
      <c r="D35" s="1">
        <v>46074</v>
      </c>
      <c r="E35" t="s">
        <v>40</v>
      </c>
      <c r="F35" t="s">
        <v>41</v>
      </c>
      <c r="G35" t="s">
        <v>42</v>
      </c>
      <c r="H35">
        <v>1131</v>
      </c>
      <c r="I35" t="s">
        <v>30</v>
      </c>
      <c r="J35">
        <v>6</v>
      </c>
      <c r="K35">
        <v>13572</v>
      </c>
      <c r="L35">
        <v>8</v>
      </c>
      <c r="M35" t="s">
        <v>44</v>
      </c>
      <c r="N35">
        <v>13</v>
      </c>
      <c r="O35">
        <v>4.9000000000000004</v>
      </c>
      <c r="P35" t="s">
        <v>53</v>
      </c>
      <c r="Q35" t="s">
        <v>62</v>
      </c>
      <c r="R35" t="s">
        <v>67</v>
      </c>
      <c r="S35">
        <v>2</v>
      </c>
      <c r="T35">
        <v>2</v>
      </c>
      <c r="U35">
        <v>0</v>
      </c>
      <c r="V35" t="s">
        <v>35</v>
      </c>
      <c r="W35" t="s">
        <v>55</v>
      </c>
      <c r="X35" t="s">
        <v>76</v>
      </c>
      <c r="Y35" t="s">
        <v>38</v>
      </c>
      <c r="Z35">
        <v>5</v>
      </c>
    </row>
    <row r="36" spans="1:26" x14ac:dyDescent="0.3">
      <c r="A36" t="s">
        <v>134</v>
      </c>
      <c r="B36" s="1">
        <v>46067</v>
      </c>
      <c r="C36" s="1">
        <v>46067</v>
      </c>
      <c r="D36" s="1">
        <v>46072</v>
      </c>
      <c r="E36" t="s">
        <v>72</v>
      </c>
      <c r="F36" t="s">
        <v>73</v>
      </c>
      <c r="G36" t="s">
        <v>74</v>
      </c>
      <c r="H36">
        <v>1799</v>
      </c>
      <c r="I36" t="s">
        <v>87</v>
      </c>
      <c r="J36">
        <v>1</v>
      </c>
      <c r="K36">
        <v>12593</v>
      </c>
      <c r="L36">
        <v>6</v>
      </c>
      <c r="M36" t="s">
        <v>135</v>
      </c>
      <c r="N36">
        <v>10</v>
      </c>
      <c r="O36">
        <v>3.3</v>
      </c>
      <c r="P36" t="s">
        <v>45</v>
      </c>
      <c r="Q36" t="s">
        <v>62</v>
      </c>
      <c r="R36" t="s">
        <v>54</v>
      </c>
      <c r="S36">
        <v>3</v>
      </c>
      <c r="T36">
        <v>5</v>
      </c>
      <c r="U36">
        <v>2</v>
      </c>
      <c r="V36" t="s">
        <v>46</v>
      </c>
      <c r="W36" t="s">
        <v>36</v>
      </c>
      <c r="X36" t="s">
        <v>95</v>
      </c>
      <c r="Y36" t="s">
        <v>33</v>
      </c>
      <c r="Z36">
        <v>3.5</v>
      </c>
    </row>
    <row r="37" spans="1:26" x14ac:dyDescent="0.3">
      <c r="A37" t="s">
        <v>136</v>
      </c>
      <c r="B37" s="1">
        <v>46070</v>
      </c>
      <c r="C37" s="1">
        <v>46070</v>
      </c>
      <c r="D37" s="1">
        <v>46073</v>
      </c>
      <c r="E37" t="s">
        <v>72</v>
      </c>
      <c r="F37" t="s">
        <v>73</v>
      </c>
      <c r="G37" t="s">
        <v>74</v>
      </c>
      <c r="H37">
        <v>1792</v>
      </c>
      <c r="I37" t="s">
        <v>60</v>
      </c>
      <c r="J37">
        <v>5</v>
      </c>
      <c r="K37">
        <v>10752</v>
      </c>
      <c r="L37">
        <v>9</v>
      </c>
      <c r="M37" t="s">
        <v>135</v>
      </c>
      <c r="N37">
        <v>15</v>
      </c>
      <c r="O37">
        <v>3.6</v>
      </c>
      <c r="P37" t="s">
        <v>53</v>
      </c>
      <c r="Q37" t="s">
        <v>62</v>
      </c>
      <c r="R37" t="s">
        <v>54</v>
      </c>
      <c r="S37">
        <v>3</v>
      </c>
      <c r="T37">
        <v>3</v>
      </c>
      <c r="U37">
        <v>0</v>
      </c>
      <c r="V37" t="s">
        <v>35</v>
      </c>
      <c r="W37" t="s">
        <v>55</v>
      </c>
      <c r="X37" t="s">
        <v>37</v>
      </c>
      <c r="Y37" t="s">
        <v>38</v>
      </c>
      <c r="Z37">
        <v>4.4000000000000004</v>
      </c>
    </row>
    <row r="38" spans="1:26" x14ac:dyDescent="0.3">
      <c r="A38" t="s">
        <v>137</v>
      </c>
      <c r="B38" s="1">
        <v>46061</v>
      </c>
      <c r="C38" s="1">
        <v>46063</v>
      </c>
      <c r="D38" s="1">
        <v>46066</v>
      </c>
      <c r="E38" t="s">
        <v>72</v>
      </c>
      <c r="F38" t="s">
        <v>73</v>
      </c>
      <c r="G38" t="s">
        <v>74</v>
      </c>
      <c r="H38">
        <v>1359</v>
      </c>
      <c r="I38" t="s">
        <v>87</v>
      </c>
      <c r="J38">
        <v>6</v>
      </c>
      <c r="K38">
        <v>13590</v>
      </c>
      <c r="L38">
        <v>8</v>
      </c>
      <c r="M38" t="s">
        <v>103</v>
      </c>
      <c r="N38">
        <v>6</v>
      </c>
      <c r="O38">
        <v>3.1</v>
      </c>
      <c r="P38" t="s">
        <v>66</v>
      </c>
      <c r="Q38" t="s">
        <v>38</v>
      </c>
      <c r="R38" t="s">
        <v>34</v>
      </c>
      <c r="S38">
        <v>3</v>
      </c>
      <c r="T38">
        <v>3</v>
      </c>
      <c r="U38">
        <v>0</v>
      </c>
      <c r="V38" t="s">
        <v>35</v>
      </c>
      <c r="W38" t="s">
        <v>68</v>
      </c>
      <c r="X38" t="s">
        <v>47</v>
      </c>
      <c r="Y38" t="s">
        <v>33</v>
      </c>
      <c r="Z38">
        <v>4.8</v>
      </c>
    </row>
    <row r="39" spans="1:26" x14ac:dyDescent="0.3">
      <c r="A39" t="s">
        <v>138</v>
      </c>
      <c r="B39" s="1">
        <v>46081</v>
      </c>
      <c r="C39" s="1">
        <v>46083</v>
      </c>
      <c r="D39" s="1">
        <v>46089</v>
      </c>
      <c r="E39" t="s">
        <v>82</v>
      </c>
      <c r="F39" t="s">
        <v>83</v>
      </c>
      <c r="G39" t="s">
        <v>84</v>
      </c>
      <c r="H39">
        <v>1091</v>
      </c>
      <c r="I39" t="s">
        <v>60</v>
      </c>
      <c r="J39">
        <v>9</v>
      </c>
      <c r="K39">
        <v>12001</v>
      </c>
      <c r="L39">
        <v>7</v>
      </c>
      <c r="M39" t="s">
        <v>139</v>
      </c>
      <c r="N39">
        <v>13</v>
      </c>
      <c r="O39">
        <v>4.8</v>
      </c>
      <c r="P39" t="s">
        <v>53</v>
      </c>
      <c r="Q39" t="s">
        <v>62</v>
      </c>
      <c r="R39" t="s">
        <v>34</v>
      </c>
      <c r="S39">
        <v>2</v>
      </c>
      <c r="T39">
        <v>6</v>
      </c>
      <c r="U39">
        <v>4</v>
      </c>
      <c r="V39" t="s">
        <v>46</v>
      </c>
      <c r="W39" t="s">
        <v>68</v>
      </c>
      <c r="X39" t="s">
        <v>47</v>
      </c>
      <c r="Y39" t="s">
        <v>38</v>
      </c>
      <c r="Z39">
        <v>4.7</v>
      </c>
    </row>
    <row r="40" spans="1:26" x14ac:dyDescent="0.3">
      <c r="A40" t="s">
        <v>140</v>
      </c>
      <c r="B40" s="1">
        <v>46034</v>
      </c>
      <c r="C40" s="1">
        <v>46035</v>
      </c>
      <c r="D40" s="1">
        <v>46037</v>
      </c>
      <c r="E40" t="s">
        <v>92</v>
      </c>
      <c r="F40" t="s">
        <v>93</v>
      </c>
      <c r="G40" t="s">
        <v>94</v>
      </c>
      <c r="H40">
        <v>699</v>
      </c>
      <c r="I40" t="s">
        <v>43</v>
      </c>
      <c r="J40">
        <v>10</v>
      </c>
      <c r="K40">
        <v>6990</v>
      </c>
      <c r="L40">
        <v>10</v>
      </c>
      <c r="M40" t="s">
        <v>75</v>
      </c>
      <c r="N40">
        <v>6</v>
      </c>
      <c r="O40">
        <v>3.1</v>
      </c>
      <c r="P40" t="s">
        <v>66</v>
      </c>
      <c r="Q40" t="s">
        <v>38</v>
      </c>
      <c r="R40" t="s">
        <v>34</v>
      </c>
      <c r="S40">
        <v>1</v>
      </c>
      <c r="T40">
        <v>2</v>
      </c>
      <c r="U40">
        <v>1</v>
      </c>
      <c r="V40" t="s">
        <v>46</v>
      </c>
      <c r="W40" t="s">
        <v>68</v>
      </c>
      <c r="X40" t="s">
        <v>47</v>
      </c>
      <c r="Y40" t="s">
        <v>62</v>
      </c>
      <c r="Z40">
        <v>4.8</v>
      </c>
    </row>
    <row r="41" spans="1:26" x14ac:dyDescent="0.3">
      <c r="A41" t="s">
        <v>141</v>
      </c>
      <c r="B41" s="1">
        <v>46112</v>
      </c>
      <c r="C41" s="1">
        <v>46113</v>
      </c>
      <c r="D41" s="1">
        <v>46115</v>
      </c>
      <c r="E41" t="s">
        <v>27</v>
      </c>
      <c r="F41" t="s">
        <v>28</v>
      </c>
      <c r="G41" t="s">
        <v>29</v>
      </c>
      <c r="H41">
        <v>1258</v>
      </c>
      <c r="I41" t="s">
        <v>60</v>
      </c>
      <c r="J41">
        <v>2</v>
      </c>
      <c r="K41">
        <v>8806</v>
      </c>
      <c r="L41">
        <v>10</v>
      </c>
      <c r="M41" t="s">
        <v>114</v>
      </c>
      <c r="N41">
        <v>8</v>
      </c>
      <c r="O41">
        <v>4.0999999999999996</v>
      </c>
      <c r="P41" t="s">
        <v>45</v>
      </c>
      <c r="Q41" t="s">
        <v>33</v>
      </c>
      <c r="R41" t="s">
        <v>34</v>
      </c>
      <c r="S41">
        <v>2</v>
      </c>
      <c r="T41">
        <v>2</v>
      </c>
      <c r="U41">
        <v>0</v>
      </c>
      <c r="V41" t="s">
        <v>35</v>
      </c>
      <c r="W41" t="s">
        <v>36</v>
      </c>
      <c r="X41" t="s">
        <v>47</v>
      </c>
      <c r="Y41" t="s">
        <v>38</v>
      </c>
      <c r="Z41">
        <v>3.8</v>
      </c>
    </row>
    <row r="42" spans="1:26" x14ac:dyDescent="0.3">
      <c r="A42" t="s">
        <v>142</v>
      </c>
      <c r="B42" s="1">
        <v>46054</v>
      </c>
      <c r="C42" s="1">
        <v>46055</v>
      </c>
      <c r="D42" s="1">
        <v>46057</v>
      </c>
      <c r="E42" t="s">
        <v>49</v>
      </c>
      <c r="F42" t="s">
        <v>50</v>
      </c>
      <c r="G42" t="s">
        <v>51</v>
      </c>
      <c r="H42">
        <v>1169</v>
      </c>
      <c r="I42" t="s">
        <v>30</v>
      </c>
      <c r="J42">
        <v>7</v>
      </c>
      <c r="K42">
        <v>12859</v>
      </c>
      <c r="L42">
        <v>9</v>
      </c>
      <c r="M42" t="s">
        <v>143</v>
      </c>
      <c r="N42">
        <v>6</v>
      </c>
      <c r="O42">
        <v>4.4000000000000004</v>
      </c>
      <c r="P42" t="s">
        <v>66</v>
      </c>
      <c r="Q42" t="s">
        <v>62</v>
      </c>
      <c r="R42" t="s">
        <v>34</v>
      </c>
      <c r="S42">
        <v>2</v>
      </c>
      <c r="T42">
        <v>2</v>
      </c>
      <c r="U42">
        <v>0</v>
      </c>
      <c r="V42" t="s">
        <v>35</v>
      </c>
      <c r="W42" t="s">
        <v>55</v>
      </c>
      <c r="X42" t="s">
        <v>37</v>
      </c>
      <c r="Y42" t="s">
        <v>62</v>
      </c>
      <c r="Z42">
        <v>3.2</v>
      </c>
    </row>
    <row r="43" spans="1:26" x14ac:dyDescent="0.3">
      <c r="A43" t="s">
        <v>144</v>
      </c>
      <c r="B43" s="1">
        <v>46091</v>
      </c>
      <c r="C43" s="1">
        <v>46093</v>
      </c>
      <c r="D43" s="1">
        <v>46095</v>
      </c>
      <c r="E43" t="s">
        <v>82</v>
      </c>
      <c r="F43" t="s">
        <v>83</v>
      </c>
      <c r="G43" t="s">
        <v>84</v>
      </c>
      <c r="H43">
        <v>592</v>
      </c>
      <c r="I43" t="s">
        <v>60</v>
      </c>
      <c r="J43">
        <v>8</v>
      </c>
      <c r="K43">
        <v>4736</v>
      </c>
      <c r="L43">
        <v>10</v>
      </c>
      <c r="M43" t="s">
        <v>145</v>
      </c>
      <c r="N43">
        <v>13</v>
      </c>
      <c r="O43">
        <v>4</v>
      </c>
      <c r="P43" t="s">
        <v>66</v>
      </c>
      <c r="Q43" t="s">
        <v>38</v>
      </c>
      <c r="R43" t="s">
        <v>67</v>
      </c>
      <c r="S43">
        <v>1</v>
      </c>
      <c r="T43">
        <v>2</v>
      </c>
      <c r="U43">
        <v>1</v>
      </c>
      <c r="V43" t="s">
        <v>46</v>
      </c>
      <c r="W43" t="s">
        <v>68</v>
      </c>
      <c r="X43" t="s">
        <v>37</v>
      </c>
      <c r="Y43" t="s">
        <v>62</v>
      </c>
      <c r="Z43">
        <v>3</v>
      </c>
    </row>
    <row r="44" spans="1:26" x14ac:dyDescent="0.3">
      <c r="A44" t="s">
        <v>146</v>
      </c>
      <c r="B44" s="1">
        <v>46091</v>
      </c>
      <c r="C44" s="1">
        <v>46091</v>
      </c>
      <c r="D44" s="1">
        <v>46094</v>
      </c>
      <c r="E44" t="s">
        <v>57</v>
      </c>
      <c r="F44" t="s">
        <v>58</v>
      </c>
      <c r="G44" t="s">
        <v>59</v>
      </c>
      <c r="H44">
        <v>293</v>
      </c>
      <c r="I44" t="s">
        <v>87</v>
      </c>
      <c r="J44">
        <v>9</v>
      </c>
      <c r="K44">
        <v>2344</v>
      </c>
      <c r="L44">
        <v>10</v>
      </c>
      <c r="M44" t="s">
        <v>147</v>
      </c>
      <c r="N44">
        <v>11</v>
      </c>
      <c r="O44">
        <v>4.7</v>
      </c>
      <c r="P44" t="s">
        <v>53</v>
      </c>
      <c r="Q44" t="s">
        <v>38</v>
      </c>
      <c r="R44" t="s">
        <v>67</v>
      </c>
      <c r="S44">
        <v>1</v>
      </c>
      <c r="T44">
        <v>3</v>
      </c>
      <c r="U44">
        <v>2</v>
      </c>
      <c r="V44" t="s">
        <v>46</v>
      </c>
      <c r="W44" t="s">
        <v>68</v>
      </c>
      <c r="X44" t="s">
        <v>95</v>
      </c>
      <c r="Y44" t="s">
        <v>62</v>
      </c>
      <c r="Z44">
        <v>3.7</v>
      </c>
    </row>
    <row r="45" spans="1:26" x14ac:dyDescent="0.3">
      <c r="A45" t="s">
        <v>148</v>
      </c>
      <c r="B45" s="1">
        <v>46029</v>
      </c>
      <c r="C45" s="1">
        <v>46030</v>
      </c>
      <c r="D45" s="1">
        <v>46031</v>
      </c>
      <c r="E45" t="s">
        <v>92</v>
      </c>
      <c r="F45" t="s">
        <v>93</v>
      </c>
      <c r="G45" t="s">
        <v>94</v>
      </c>
      <c r="H45">
        <v>433</v>
      </c>
      <c r="I45" t="s">
        <v>87</v>
      </c>
      <c r="J45">
        <v>7</v>
      </c>
      <c r="K45">
        <v>3897</v>
      </c>
      <c r="L45">
        <v>5</v>
      </c>
      <c r="M45" t="s">
        <v>105</v>
      </c>
      <c r="N45">
        <v>11</v>
      </c>
      <c r="O45">
        <v>4.4000000000000004</v>
      </c>
      <c r="P45" t="s">
        <v>45</v>
      </c>
      <c r="Q45" t="s">
        <v>38</v>
      </c>
      <c r="R45" t="s">
        <v>54</v>
      </c>
      <c r="S45">
        <v>1</v>
      </c>
      <c r="T45">
        <v>1</v>
      </c>
      <c r="U45">
        <v>0</v>
      </c>
      <c r="V45" t="s">
        <v>35</v>
      </c>
      <c r="W45" t="s">
        <v>36</v>
      </c>
      <c r="X45" t="s">
        <v>63</v>
      </c>
      <c r="Y45" t="s">
        <v>33</v>
      </c>
      <c r="Z45">
        <v>4.5</v>
      </c>
    </row>
    <row r="46" spans="1:26" x14ac:dyDescent="0.3">
      <c r="A46" t="s">
        <v>149</v>
      </c>
      <c r="B46" s="1">
        <v>46100</v>
      </c>
      <c r="C46" s="1">
        <v>46102</v>
      </c>
      <c r="D46" s="1">
        <v>46106</v>
      </c>
      <c r="E46" t="s">
        <v>40</v>
      </c>
      <c r="F46" t="s">
        <v>41</v>
      </c>
      <c r="G46" t="s">
        <v>42</v>
      </c>
      <c r="H46">
        <v>1788</v>
      </c>
      <c r="I46" t="s">
        <v>43</v>
      </c>
      <c r="J46">
        <v>8</v>
      </c>
      <c r="K46">
        <v>16092</v>
      </c>
      <c r="L46">
        <v>7</v>
      </c>
      <c r="M46" t="s">
        <v>145</v>
      </c>
      <c r="N46">
        <v>7</v>
      </c>
      <c r="O46">
        <v>3.6</v>
      </c>
      <c r="P46" t="s">
        <v>32</v>
      </c>
      <c r="Q46" t="s">
        <v>33</v>
      </c>
      <c r="R46" t="s">
        <v>54</v>
      </c>
      <c r="S46">
        <v>3</v>
      </c>
      <c r="T46">
        <v>4</v>
      </c>
      <c r="U46">
        <v>1</v>
      </c>
      <c r="V46" t="s">
        <v>46</v>
      </c>
      <c r="W46" t="s">
        <v>55</v>
      </c>
      <c r="X46" t="s">
        <v>37</v>
      </c>
      <c r="Y46" t="s">
        <v>62</v>
      </c>
      <c r="Z46">
        <v>4.3</v>
      </c>
    </row>
    <row r="47" spans="1:26" x14ac:dyDescent="0.3">
      <c r="A47" t="s">
        <v>150</v>
      </c>
      <c r="B47" s="1">
        <v>46043</v>
      </c>
      <c r="C47" s="1">
        <v>46043</v>
      </c>
      <c r="D47" s="1">
        <v>46047</v>
      </c>
      <c r="E47" t="s">
        <v>82</v>
      </c>
      <c r="F47" t="s">
        <v>83</v>
      </c>
      <c r="G47" t="s">
        <v>84</v>
      </c>
      <c r="H47">
        <v>1330</v>
      </c>
      <c r="I47" t="s">
        <v>87</v>
      </c>
      <c r="J47">
        <v>3</v>
      </c>
      <c r="K47">
        <v>7980</v>
      </c>
      <c r="L47">
        <v>8</v>
      </c>
      <c r="M47" t="s">
        <v>128</v>
      </c>
      <c r="N47">
        <v>12</v>
      </c>
      <c r="O47">
        <v>4.2</v>
      </c>
      <c r="P47" t="s">
        <v>66</v>
      </c>
      <c r="Q47" t="s">
        <v>38</v>
      </c>
      <c r="R47" t="s">
        <v>67</v>
      </c>
      <c r="S47">
        <v>2</v>
      </c>
      <c r="T47">
        <v>4</v>
      </c>
      <c r="U47">
        <v>2</v>
      </c>
      <c r="V47" t="s">
        <v>46</v>
      </c>
      <c r="W47" t="s">
        <v>68</v>
      </c>
      <c r="X47" t="s">
        <v>95</v>
      </c>
      <c r="Y47" t="s">
        <v>38</v>
      </c>
      <c r="Z47">
        <v>4.4000000000000004</v>
      </c>
    </row>
    <row r="48" spans="1:26" x14ac:dyDescent="0.3">
      <c r="A48" t="s">
        <v>151</v>
      </c>
      <c r="B48" s="1">
        <v>46141</v>
      </c>
      <c r="C48" s="1">
        <v>46142</v>
      </c>
      <c r="D48" s="1">
        <v>46145</v>
      </c>
      <c r="E48" t="s">
        <v>40</v>
      </c>
      <c r="F48" t="s">
        <v>41</v>
      </c>
      <c r="G48" t="s">
        <v>42</v>
      </c>
      <c r="H48">
        <v>1070</v>
      </c>
      <c r="I48" t="s">
        <v>87</v>
      </c>
      <c r="J48">
        <v>9</v>
      </c>
      <c r="K48">
        <v>7490</v>
      </c>
      <c r="L48">
        <v>10</v>
      </c>
      <c r="M48" t="s">
        <v>70</v>
      </c>
      <c r="N48">
        <v>15</v>
      </c>
      <c r="O48">
        <v>3.5</v>
      </c>
      <c r="P48" t="s">
        <v>45</v>
      </c>
      <c r="Q48" t="s">
        <v>38</v>
      </c>
      <c r="R48" t="s">
        <v>67</v>
      </c>
      <c r="S48">
        <v>2</v>
      </c>
      <c r="T48">
        <v>3</v>
      </c>
      <c r="U48">
        <v>1</v>
      </c>
      <c r="V48" t="s">
        <v>46</v>
      </c>
      <c r="W48" t="s">
        <v>55</v>
      </c>
      <c r="X48" t="s">
        <v>76</v>
      </c>
      <c r="Y48" t="s">
        <v>62</v>
      </c>
      <c r="Z48">
        <v>3.9</v>
      </c>
    </row>
    <row r="49" spans="1:26" x14ac:dyDescent="0.3">
      <c r="A49" t="s">
        <v>152</v>
      </c>
      <c r="B49" s="1">
        <v>46082</v>
      </c>
      <c r="C49" s="1">
        <v>46084</v>
      </c>
      <c r="D49" s="1">
        <v>46088</v>
      </c>
      <c r="E49" t="s">
        <v>57</v>
      </c>
      <c r="F49" t="s">
        <v>58</v>
      </c>
      <c r="G49" t="s">
        <v>59</v>
      </c>
      <c r="H49">
        <v>1633</v>
      </c>
      <c r="I49" t="s">
        <v>43</v>
      </c>
      <c r="J49">
        <v>5</v>
      </c>
      <c r="K49">
        <v>16330</v>
      </c>
      <c r="L49">
        <v>9</v>
      </c>
      <c r="M49" t="s">
        <v>153</v>
      </c>
      <c r="N49">
        <v>8</v>
      </c>
      <c r="O49">
        <v>3.2</v>
      </c>
      <c r="P49" t="s">
        <v>32</v>
      </c>
      <c r="Q49" t="s">
        <v>62</v>
      </c>
      <c r="R49" t="s">
        <v>54</v>
      </c>
      <c r="S49">
        <v>3</v>
      </c>
      <c r="T49">
        <v>4</v>
      </c>
      <c r="U49">
        <v>1</v>
      </c>
      <c r="V49" t="s">
        <v>46</v>
      </c>
      <c r="W49" t="s">
        <v>55</v>
      </c>
      <c r="X49" t="s">
        <v>47</v>
      </c>
      <c r="Y49" t="s">
        <v>38</v>
      </c>
      <c r="Z49">
        <v>3.2</v>
      </c>
    </row>
    <row r="50" spans="1:26" x14ac:dyDescent="0.3">
      <c r="A50" t="s">
        <v>154</v>
      </c>
      <c r="B50" s="1">
        <v>46109</v>
      </c>
      <c r="C50" s="1">
        <v>46111</v>
      </c>
      <c r="D50" s="1">
        <v>46117</v>
      </c>
      <c r="E50" t="s">
        <v>27</v>
      </c>
      <c r="F50" t="s">
        <v>28</v>
      </c>
      <c r="G50" t="s">
        <v>29</v>
      </c>
      <c r="H50">
        <v>1766</v>
      </c>
      <c r="I50" t="s">
        <v>30</v>
      </c>
      <c r="J50">
        <v>10</v>
      </c>
      <c r="K50">
        <v>10596</v>
      </c>
      <c r="L50">
        <v>6</v>
      </c>
      <c r="M50" t="s">
        <v>116</v>
      </c>
      <c r="N50">
        <v>9</v>
      </c>
      <c r="O50">
        <v>4.3</v>
      </c>
      <c r="P50" t="s">
        <v>66</v>
      </c>
      <c r="Q50" t="s">
        <v>38</v>
      </c>
      <c r="R50" t="s">
        <v>54</v>
      </c>
      <c r="S50">
        <v>3</v>
      </c>
      <c r="T50">
        <v>6</v>
      </c>
      <c r="U50">
        <v>3</v>
      </c>
      <c r="V50" t="s">
        <v>46</v>
      </c>
      <c r="W50" t="s">
        <v>36</v>
      </c>
      <c r="X50" t="s">
        <v>95</v>
      </c>
      <c r="Y50" t="s">
        <v>62</v>
      </c>
      <c r="Z50">
        <v>3.8</v>
      </c>
    </row>
    <row r="51" spans="1:26" x14ac:dyDescent="0.3">
      <c r="A51" t="s">
        <v>155</v>
      </c>
      <c r="B51" s="1">
        <v>46064</v>
      </c>
      <c r="C51" s="1">
        <v>46066</v>
      </c>
      <c r="D51" s="1">
        <v>46068</v>
      </c>
      <c r="E51" t="s">
        <v>72</v>
      </c>
      <c r="F51" t="s">
        <v>73</v>
      </c>
      <c r="G51" t="s">
        <v>74</v>
      </c>
      <c r="H51">
        <v>529</v>
      </c>
      <c r="I51" t="s">
        <v>30</v>
      </c>
      <c r="J51">
        <v>7</v>
      </c>
      <c r="K51">
        <v>5819</v>
      </c>
      <c r="L51">
        <v>8</v>
      </c>
      <c r="M51" t="s">
        <v>99</v>
      </c>
      <c r="N51">
        <v>11</v>
      </c>
      <c r="O51">
        <v>4.9000000000000004</v>
      </c>
      <c r="P51" t="s">
        <v>32</v>
      </c>
      <c r="Q51" t="s">
        <v>62</v>
      </c>
      <c r="R51" t="s">
        <v>67</v>
      </c>
      <c r="S51">
        <v>1</v>
      </c>
      <c r="T51">
        <v>2</v>
      </c>
      <c r="U51">
        <v>1</v>
      </c>
      <c r="V51" t="s">
        <v>46</v>
      </c>
      <c r="W51" t="s">
        <v>68</v>
      </c>
      <c r="X51" t="s">
        <v>47</v>
      </c>
      <c r="Y51" t="s">
        <v>38</v>
      </c>
      <c r="Z51">
        <v>4.9000000000000004</v>
      </c>
    </row>
    <row r="52" spans="1:26" x14ac:dyDescent="0.3">
      <c r="A52" t="s">
        <v>156</v>
      </c>
      <c r="B52" s="1">
        <v>46074</v>
      </c>
      <c r="C52" s="1">
        <v>46076</v>
      </c>
      <c r="D52" s="1">
        <v>46080</v>
      </c>
      <c r="E52" t="s">
        <v>27</v>
      </c>
      <c r="F52" t="s">
        <v>28</v>
      </c>
      <c r="G52" t="s">
        <v>29</v>
      </c>
      <c r="H52">
        <v>1546</v>
      </c>
      <c r="I52" t="s">
        <v>43</v>
      </c>
      <c r="J52">
        <v>7</v>
      </c>
      <c r="K52">
        <v>9276</v>
      </c>
      <c r="L52">
        <v>6</v>
      </c>
      <c r="M52" t="s">
        <v>85</v>
      </c>
      <c r="N52">
        <v>6</v>
      </c>
      <c r="O52">
        <v>4.2</v>
      </c>
      <c r="P52" t="s">
        <v>53</v>
      </c>
      <c r="Q52" t="s">
        <v>33</v>
      </c>
      <c r="R52" t="s">
        <v>34</v>
      </c>
      <c r="S52">
        <v>3</v>
      </c>
      <c r="T52">
        <v>4</v>
      </c>
      <c r="U52">
        <v>1</v>
      </c>
      <c r="V52" t="s">
        <v>46</v>
      </c>
      <c r="W52" t="s">
        <v>55</v>
      </c>
      <c r="X52" t="s">
        <v>37</v>
      </c>
      <c r="Y52" t="s">
        <v>62</v>
      </c>
      <c r="Z52">
        <v>3.9</v>
      </c>
    </row>
    <row r="53" spans="1:26" x14ac:dyDescent="0.3">
      <c r="A53" t="s">
        <v>157</v>
      </c>
      <c r="B53" s="1">
        <v>46112</v>
      </c>
      <c r="C53" s="1">
        <v>46113</v>
      </c>
      <c r="D53" s="1">
        <v>46114</v>
      </c>
      <c r="E53" t="s">
        <v>72</v>
      </c>
      <c r="F53" t="s">
        <v>73</v>
      </c>
      <c r="G53" t="s">
        <v>74</v>
      </c>
      <c r="H53">
        <v>259</v>
      </c>
      <c r="I53" t="s">
        <v>60</v>
      </c>
      <c r="J53">
        <v>3</v>
      </c>
      <c r="K53">
        <v>2072</v>
      </c>
      <c r="L53">
        <v>9</v>
      </c>
      <c r="M53" t="s">
        <v>158</v>
      </c>
      <c r="N53">
        <v>9</v>
      </c>
      <c r="O53">
        <v>3.8</v>
      </c>
      <c r="P53" t="s">
        <v>45</v>
      </c>
      <c r="Q53" t="s">
        <v>38</v>
      </c>
      <c r="R53" t="s">
        <v>34</v>
      </c>
      <c r="S53">
        <v>1</v>
      </c>
      <c r="T53">
        <v>1</v>
      </c>
      <c r="U53">
        <v>0</v>
      </c>
      <c r="V53" t="s">
        <v>35</v>
      </c>
      <c r="W53" t="s">
        <v>68</v>
      </c>
      <c r="X53" t="s">
        <v>47</v>
      </c>
      <c r="Y53" t="s">
        <v>33</v>
      </c>
      <c r="Z53">
        <v>4.4000000000000004</v>
      </c>
    </row>
    <row r="54" spans="1:26" x14ac:dyDescent="0.3">
      <c r="A54" t="s">
        <v>159</v>
      </c>
      <c r="B54" s="1">
        <v>46076</v>
      </c>
      <c r="C54" s="1">
        <v>46077</v>
      </c>
      <c r="D54" s="1">
        <v>46080</v>
      </c>
      <c r="E54" t="s">
        <v>92</v>
      </c>
      <c r="F54" t="s">
        <v>93</v>
      </c>
      <c r="G54" t="s">
        <v>94</v>
      </c>
      <c r="H54">
        <v>699</v>
      </c>
      <c r="I54" t="s">
        <v>43</v>
      </c>
      <c r="J54">
        <v>9</v>
      </c>
      <c r="K54">
        <v>4893</v>
      </c>
      <c r="L54">
        <v>8</v>
      </c>
      <c r="M54" t="s">
        <v>160</v>
      </c>
      <c r="N54">
        <v>15</v>
      </c>
      <c r="O54">
        <v>4.2</v>
      </c>
      <c r="P54" t="s">
        <v>45</v>
      </c>
      <c r="Q54" t="s">
        <v>38</v>
      </c>
      <c r="R54" t="s">
        <v>34</v>
      </c>
      <c r="S54">
        <v>1</v>
      </c>
      <c r="T54">
        <v>3</v>
      </c>
      <c r="U54">
        <v>2</v>
      </c>
      <c r="V54" t="s">
        <v>46</v>
      </c>
      <c r="W54" t="s">
        <v>55</v>
      </c>
      <c r="X54" t="s">
        <v>47</v>
      </c>
      <c r="Y54" t="s">
        <v>38</v>
      </c>
      <c r="Z54">
        <v>3.6</v>
      </c>
    </row>
    <row r="55" spans="1:26" x14ac:dyDescent="0.3">
      <c r="A55" t="s">
        <v>161</v>
      </c>
      <c r="B55" s="1">
        <v>46061</v>
      </c>
      <c r="C55" s="1">
        <v>46063</v>
      </c>
      <c r="D55" s="1">
        <v>46066</v>
      </c>
      <c r="E55" t="s">
        <v>92</v>
      </c>
      <c r="F55" t="s">
        <v>93</v>
      </c>
      <c r="G55" t="s">
        <v>94</v>
      </c>
      <c r="H55">
        <v>504</v>
      </c>
      <c r="I55" t="s">
        <v>43</v>
      </c>
      <c r="J55">
        <v>9</v>
      </c>
      <c r="K55">
        <v>4536</v>
      </c>
      <c r="L55">
        <v>7</v>
      </c>
      <c r="M55" t="s">
        <v>143</v>
      </c>
      <c r="N55">
        <v>9</v>
      </c>
      <c r="O55">
        <v>4.5</v>
      </c>
      <c r="P55" t="s">
        <v>53</v>
      </c>
      <c r="Q55" t="s">
        <v>62</v>
      </c>
      <c r="R55" t="s">
        <v>34</v>
      </c>
      <c r="S55">
        <v>1</v>
      </c>
      <c r="T55">
        <v>3</v>
      </c>
      <c r="U55">
        <v>2</v>
      </c>
      <c r="V55" t="s">
        <v>46</v>
      </c>
      <c r="W55" t="s">
        <v>36</v>
      </c>
      <c r="X55" t="s">
        <v>76</v>
      </c>
      <c r="Y55" t="s">
        <v>62</v>
      </c>
      <c r="Z55">
        <v>3.5</v>
      </c>
    </row>
    <row r="56" spans="1:26" x14ac:dyDescent="0.3">
      <c r="A56" t="s">
        <v>162</v>
      </c>
      <c r="B56" s="1">
        <v>46122</v>
      </c>
      <c r="C56" s="1">
        <v>46123</v>
      </c>
      <c r="D56" s="1">
        <v>46126</v>
      </c>
      <c r="E56" t="s">
        <v>27</v>
      </c>
      <c r="F56" t="s">
        <v>28</v>
      </c>
      <c r="G56" t="s">
        <v>29</v>
      </c>
      <c r="H56">
        <v>851</v>
      </c>
      <c r="I56" t="s">
        <v>43</v>
      </c>
      <c r="J56">
        <v>7</v>
      </c>
      <c r="K56">
        <v>7659</v>
      </c>
      <c r="L56">
        <v>10</v>
      </c>
      <c r="M56" t="s">
        <v>97</v>
      </c>
      <c r="N56">
        <v>3</v>
      </c>
      <c r="O56">
        <v>4</v>
      </c>
      <c r="P56" t="s">
        <v>32</v>
      </c>
      <c r="Q56" t="s">
        <v>38</v>
      </c>
      <c r="R56" t="s">
        <v>54</v>
      </c>
      <c r="S56">
        <v>1</v>
      </c>
      <c r="T56">
        <v>3</v>
      </c>
      <c r="U56">
        <v>2</v>
      </c>
      <c r="V56" t="s">
        <v>46</v>
      </c>
      <c r="W56" t="s">
        <v>68</v>
      </c>
      <c r="X56" t="s">
        <v>63</v>
      </c>
      <c r="Y56" t="s">
        <v>62</v>
      </c>
      <c r="Z56">
        <v>3.2</v>
      </c>
    </row>
    <row r="57" spans="1:26" x14ac:dyDescent="0.3">
      <c r="A57" t="s">
        <v>163</v>
      </c>
      <c r="B57" s="1">
        <v>46139</v>
      </c>
      <c r="C57" s="1">
        <v>46140</v>
      </c>
      <c r="D57" s="1">
        <v>46146</v>
      </c>
      <c r="E57" t="s">
        <v>27</v>
      </c>
      <c r="F57" t="s">
        <v>28</v>
      </c>
      <c r="G57" t="s">
        <v>29</v>
      </c>
      <c r="H57">
        <v>1679</v>
      </c>
      <c r="I57" t="s">
        <v>60</v>
      </c>
      <c r="J57">
        <v>7</v>
      </c>
      <c r="K57">
        <v>20148</v>
      </c>
      <c r="L57">
        <v>10</v>
      </c>
      <c r="M57" t="s">
        <v>70</v>
      </c>
      <c r="N57">
        <v>2</v>
      </c>
      <c r="O57">
        <v>3.9</v>
      </c>
      <c r="P57" t="s">
        <v>66</v>
      </c>
      <c r="Q57" t="s">
        <v>62</v>
      </c>
      <c r="R57" t="s">
        <v>54</v>
      </c>
      <c r="S57">
        <v>3</v>
      </c>
      <c r="T57">
        <v>6</v>
      </c>
      <c r="U57">
        <v>3</v>
      </c>
      <c r="V57" t="s">
        <v>46</v>
      </c>
      <c r="W57" t="s">
        <v>55</v>
      </c>
      <c r="X57" t="s">
        <v>63</v>
      </c>
      <c r="Y57" t="s">
        <v>62</v>
      </c>
      <c r="Z57">
        <v>4.7</v>
      </c>
    </row>
    <row r="58" spans="1:26" x14ac:dyDescent="0.3">
      <c r="A58" t="s">
        <v>164</v>
      </c>
      <c r="B58" s="1">
        <v>46132</v>
      </c>
      <c r="C58" s="1">
        <v>46134</v>
      </c>
      <c r="D58" s="1">
        <v>46138</v>
      </c>
      <c r="E58" t="s">
        <v>111</v>
      </c>
      <c r="F58" t="s">
        <v>27</v>
      </c>
      <c r="G58" t="s">
        <v>112</v>
      </c>
      <c r="H58">
        <v>848</v>
      </c>
      <c r="I58" t="s">
        <v>43</v>
      </c>
      <c r="J58">
        <v>9</v>
      </c>
      <c r="K58">
        <v>5088</v>
      </c>
      <c r="L58">
        <v>9</v>
      </c>
      <c r="M58" t="s">
        <v>165</v>
      </c>
      <c r="N58">
        <v>4</v>
      </c>
      <c r="O58">
        <v>4.3</v>
      </c>
      <c r="P58" t="s">
        <v>66</v>
      </c>
      <c r="Q58" t="s">
        <v>38</v>
      </c>
      <c r="R58" t="s">
        <v>54</v>
      </c>
      <c r="S58">
        <v>1</v>
      </c>
      <c r="T58">
        <v>4</v>
      </c>
      <c r="U58">
        <v>3</v>
      </c>
      <c r="V58" t="s">
        <v>46</v>
      </c>
      <c r="W58" t="s">
        <v>36</v>
      </c>
      <c r="X58" t="s">
        <v>63</v>
      </c>
      <c r="Y58" t="s">
        <v>62</v>
      </c>
      <c r="Z58">
        <v>3.3</v>
      </c>
    </row>
    <row r="59" spans="1:26" x14ac:dyDescent="0.3">
      <c r="A59" t="s">
        <v>166</v>
      </c>
      <c r="B59" s="1">
        <v>46061</v>
      </c>
      <c r="C59" s="1">
        <v>46061</v>
      </c>
      <c r="D59" s="1">
        <v>46063</v>
      </c>
      <c r="E59" t="s">
        <v>27</v>
      </c>
      <c r="F59" t="s">
        <v>28</v>
      </c>
      <c r="G59" t="s">
        <v>29</v>
      </c>
      <c r="H59">
        <v>864</v>
      </c>
      <c r="I59" t="s">
        <v>87</v>
      </c>
      <c r="J59">
        <v>5</v>
      </c>
      <c r="K59">
        <v>6912</v>
      </c>
      <c r="L59">
        <v>7</v>
      </c>
      <c r="M59" t="s">
        <v>120</v>
      </c>
      <c r="N59">
        <v>3</v>
      </c>
      <c r="O59">
        <v>3.5</v>
      </c>
      <c r="P59" t="s">
        <v>53</v>
      </c>
      <c r="Q59" t="s">
        <v>33</v>
      </c>
      <c r="R59" t="s">
        <v>54</v>
      </c>
      <c r="S59">
        <v>1</v>
      </c>
      <c r="T59">
        <v>2</v>
      </c>
      <c r="U59">
        <v>1</v>
      </c>
      <c r="V59" t="s">
        <v>46</v>
      </c>
      <c r="W59" t="s">
        <v>36</v>
      </c>
      <c r="X59" t="s">
        <v>76</v>
      </c>
      <c r="Y59" t="s">
        <v>62</v>
      </c>
      <c r="Z59">
        <v>4.2</v>
      </c>
    </row>
    <row r="60" spans="1:26" x14ac:dyDescent="0.3">
      <c r="A60" t="s">
        <v>167</v>
      </c>
      <c r="B60" s="1">
        <v>46053</v>
      </c>
      <c r="C60" s="1">
        <v>46054</v>
      </c>
      <c r="D60" s="1">
        <v>46056</v>
      </c>
      <c r="E60" t="s">
        <v>82</v>
      </c>
      <c r="F60" t="s">
        <v>83</v>
      </c>
      <c r="G60" t="s">
        <v>84</v>
      </c>
      <c r="H60">
        <v>675</v>
      </c>
      <c r="I60" t="s">
        <v>43</v>
      </c>
      <c r="J60">
        <v>5</v>
      </c>
      <c r="K60">
        <v>6075</v>
      </c>
      <c r="L60">
        <v>7</v>
      </c>
      <c r="M60" t="s">
        <v>103</v>
      </c>
      <c r="N60">
        <v>1</v>
      </c>
      <c r="O60">
        <v>4.8</v>
      </c>
      <c r="P60" t="s">
        <v>53</v>
      </c>
      <c r="Q60" t="s">
        <v>62</v>
      </c>
      <c r="R60" t="s">
        <v>54</v>
      </c>
      <c r="S60">
        <v>1</v>
      </c>
      <c r="T60">
        <v>2</v>
      </c>
      <c r="U60">
        <v>1</v>
      </c>
      <c r="V60" t="s">
        <v>46</v>
      </c>
      <c r="W60" t="s">
        <v>36</v>
      </c>
      <c r="X60" t="s">
        <v>95</v>
      </c>
      <c r="Y60" t="s">
        <v>62</v>
      </c>
      <c r="Z60">
        <v>5</v>
      </c>
    </row>
    <row r="61" spans="1:26" x14ac:dyDescent="0.3">
      <c r="A61" t="s">
        <v>168</v>
      </c>
      <c r="B61" s="1">
        <v>46061</v>
      </c>
      <c r="C61" s="1">
        <v>46063</v>
      </c>
      <c r="D61" s="1">
        <v>46068</v>
      </c>
      <c r="E61" t="s">
        <v>111</v>
      </c>
      <c r="F61" t="s">
        <v>27</v>
      </c>
      <c r="G61" t="s">
        <v>112</v>
      </c>
      <c r="H61">
        <v>1613</v>
      </c>
      <c r="I61" t="s">
        <v>30</v>
      </c>
      <c r="J61">
        <v>8</v>
      </c>
      <c r="K61">
        <v>19356</v>
      </c>
      <c r="L61">
        <v>7</v>
      </c>
      <c r="M61" t="s">
        <v>160</v>
      </c>
      <c r="N61">
        <v>7</v>
      </c>
      <c r="O61">
        <v>4.7</v>
      </c>
      <c r="P61" t="s">
        <v>32</v>
      </c>
      <c r="Q61" t="s">
        <v>38</v>
      </c>
      <c r="R61" t="s">
        <v>34</v>
      </c>
      <c r="S61">
        <v>3</v>
      </c>
      <c r="T61">
        <v>5</v>
      </c>
      <c r="U61">
        <v>2</v>
      </c>
      <c r="V61" t="s">
        <v>46</v>
      </c>
      <c r="W61" t="s">
        <v>68</v>
      </c>
      <c r="X61" t="s">
        <v>76</v>
      </c>
      <c r="Y61" t="s">
        <v>62</v>
      </c>
      <c r="Z61">
        <v>5</v>
      </c>
    </row>
    <row r="62" spans="1:26" x14ac:dyDescent="0.3">
      <c r="A62" t="s">
        <v>169</v>
      </c>
      <c r="B62" s="1">
        <v>46060</v>
      </c>
      <c r="C62" s="1">
        <v>46060</v>
      </c>
      <c r="D62" s="1">
        <v>46063</v>
      </c>
      <c r="E62" t="s">
        <v>111</v>
      </c>
      <c r="F62" t="s">
        <v>27</v>
      </c>
      <c r="G62" t="s">
        <v>112</v>
      </c>
      <c r="H62">
        <v>762</v>
      </c>
      <c r="I62" t="s">
        <v>87</v>
      </c>
      <c r="J62">
        <v>10</v>
      </c>
      <c r="K62">
        <v>9144</v>
      </c>
      <c r="L62">
        <v>10</v>
      </c>
      <c r="M62" t="s">
        <v>170</v>
      </c>
      <c r="N62">
        <v>12</v>
      </c>
      <c r="O62">
        <v>4.9000000000000004</v>
      </c>
      <c r="P62" t="s">
        <v>53</v>
      </c>
      <c r="Q62" t="s">
        <v>62</v>
      </c>
      <c r="R62" t="s">
        <v>67</v>
      </c>
      <c r="S62">
        <v>1</v>
      </c>
      <c r="T62">
        <v>3</v>
      </c>
      <c r="U62">
        <v>2</v>
      </c>
      <c r="V62" t="s">
        <v>46</v>
      </c>
      <c r="W62" t="s">
        <v>36</v>
      </c>
      <c r="X62" t="s">
        <v>37</v>
      </c>
      <c r="Y62" t="s">
        <v>33</v>
      </c>
      <c r="Z62">
        <v>3.5</v>
      </c>
    </row>
    <row r="63" spans="1:26" x14ac:dyDescent="0.3">
      <c r="A63" t="s">
        <v>171</v>
      </c>
      <c r="B63" s="1">
        <v>46119</v>
      </c>
      <c r="C63" s="1">
        <v>46121</v>
      </c>
      <c r="D63" s="1">
        <v>46126</v>
      </c>
      <c r="E63" t="s">
        <v>82</v>
      </c>
      <c r="F63" t="s">
        <v>83</v>
      </c>
      <c r="G63" t="s">
        <v>84</v>
      </c>
      <c r="H63">
        <v>1486</v>
      </c>
      <c r="I63" t="s">
        <v>87</v>
      </c>
      <c r="J63">
        <v>1</v>
      </c>
      <c r="K63">
        <v>11888</v>
      </c>
      <c r="L63">
        <v>8</v>
      </c>
      <c r="M63" t="s">
        <v>172</v>
      </c>
      <c r="N63">
        <v>10</v>
      </c>
      <c r="O63">
        <v>3.7</v>
      </c>
      <c r="P63" t="s">
        <v>45</v>
      </c>
      <c r="Q63" t="s">
        <v>38</v>
      </c>
      <c r="R63" t="s">
        <v>34</v>
      </c>
      <c r="S63">
        <v>3</v>
      </c>
      <c r="T63">
        <v>5</v>
      </c>
      <c r="U63">
        <v>2</v>
      </c>
      <c r="V63" t="s">
        <v>46</v>
      </c>
      <c r="W63" t="s">
        <v>68</v>
      </c>
      <c r="X63" t="s">
        <v>37</v>
      </c>
      <c r="Y63" t="s">
        <v>38</v>
      </c>
      <c r="Z63">
        <v>3.3</v>
      </c>
    </row>
    <row r="64" spans="1:26" x14ac:dyDescent="0.3">
      <c r="A64" t="s">
        <v>173</v>
      </c>
      <c r="B64" s="1">
        <v>46092</v>
      </c>
      <c r="C64" s="1">
        <v>46093</v>
      </c>
      <c r="D64" s="1">
        <v>46094</v>
      </c>
      <c r="E64" t="s">
        <v>57</v>
      </c>
      <c r="F64" t="s">
        <v>58</v>
      </c>
      <c r="G64" t="s">
        <v>59</v>
      </c>
      <c r="H64">
        <v>536</v>
      </c>
      <c r="I64" t="s">
        <v>30</v>
      </c>
      <c r="J64">
        <v>8</v>
      </c>
      <c r="K64">
        <v>6432</v>
      </c>
      <c r="L64">
        <v>7</v>
      </c>
      <c r="M64" t="s">
        <v>31</v>
      </c>
      <c r="N64">
        <v>14</v>
      </c>
      <c r="O64">
        <v>3.7</v>
      </c>
      <c r="P64" t="s">
        <v>32</v>
      </c>
      <c r="Q64" t="s">
        <v>62</v>
      </c>
      <c r="R64" t="s">
        <v>67</v>
      </c>
      <c r="S64">
        <v>1</v>
      </c>
      <c r="T64">
        <v>1</v>
      </c>
      <c r="U64">
        <v>0</v>
      </c>
      <c r="V64" t="s">
        <v>35</v>
      </c>
      <c r="W64" t="s">
        <v>36</v>
      </c>
      <c r="X64" t="s">
        <v>95</v>
      </c>
      <c r="Y64" t="s">
        <v>33</v>
      </c>
      <c r="Z64">
        <v>3.7</v>
      </c>
    </row>
    <row r="65" spans="1:26" x14ac:dyDescent="0.3">
      <c r="A65" t="s">
        <v>174</v>
      </c>
      <c r="B65" s="1">
        <v>46124</v>
      </c>
      <c r="C65" s="1">
        <v>46125</v>
      </c>
      <c r="D65" s="1">
        <v>46127</v>
      </c>
      <c r="E65" t="s">
        <v>27</v>
      </c>
      <c r="F65" t="s">
        <v>28</v>
      </c>
      <c r="G65" t="s">
        <v>29</v>
      </c>
      <c r="H65">
        <v>741</v>
      </c>
      <c r="I65" t="s">
        <v>87</v>
      </c>
      <c r="J65">
        <v>8</v>
      </c>
      <c r="K65">
        <v>5928</v>
      </c>
      <c r="L65">
        <v>10</v>
      </c>
      <c r="M65" t="s">
        <v>31</v>
      </c>
      <c r="N65">
        <v>11</v>
      </c>
      <c r="O65">
        <v>3.5</v>
      </c>
      <c r="P65" t="s">
        <v>53</v>
      </c>
      <c r="Q65" t="s">
        <v>33</v>
      </c>
      <c r="R65" t="s">
        <v>34</v>
      </c>
      <c r="S65">
        <v>1</v>
      </c>
      <c r="T65">
        <v>2</v>
      </c>
      <c r="U65">
        <v>1</v>
      </c>
      <c r="V65" t="s">
        <v>46</v>
      </c>
      <c r="W65" t="s">
        <v>68</v>
      </c>
      <c r="X65" t="s">
        <v>63</v>
      </c>
      <c r="Y65" t="s">
        <v>33</v>
      </c>
      <c r="Z65">
        <v>4.8</v>
      </c>
    </row>
    <row r="66" spans="1:26" x14ac:dyDescent="0.3">
      <c r="A66" t="s">
        <v>175</v>
      </c>
      <c r="B66" s="1">
        <v>46094</v>
      </c>
      <c r="C66" s="1">
        <v>46095</v>
      </c>
      <c r="D66" s="1">
        <v>46099</v>
      </c>
      <c r="E66" t="s">
        <v>40</v>
      </c>
      <c r="F66" t="s">
        <v>41</v>
      </c>
      <c r="G66" t="s">
        <v>42</v>
      </c>
      <c r="H66">
        <v>1526</v>
      </c>
      <c r="I66" t="s">
        <v>87</v>
      </c>
      <c r="J66">
        <v>8</v>
      </c>
      <c r="K66">
        <v>16786</v>
      </c>
      <c r="L66">
        <v>7</v>
      </c>
      <c r="M66" t="s">
        <v>97</v>
      </c>
      <c r="N66">
        <v>7</v>
      </c>
      <c r="O66">
        <v>3.2</v>
      </c>
      <c r="P66" t="s">
        <v>32</v>
      </c>
      <c r="Q66" t="s">
        <v>38</v>
      </c>
      <c r="R66" t="s">
        <v>34</v>
      </c>
      <c r="S66">
        <v>3</v>
      </c>
      <c r="T66">
        <v>4</v>
      </c>
      <c r="U66">
        <v>1</v>
      </c>
      <c r="V66" t="s">
        <v>46</v>
      </c>
      <c r="W66" t="s">
        <v>36</v>
      </c>
      <c r="X66" t="s">
        <v>63</v>
      </c>
      <c r="Y66" t="s">
        <v>38</v>
      </c>
      <c r="Z66">
        <v>4.8</v>
      </c>
    </row>
    <row r="67" spans="1:26" x14ac:dyDescent="0.3">
      <c r="A67" t="s">
        <v>176</v>
      </c>
      <c r="B67" s="1">
        <v>46040</v>
      </c>
      <c r="C67" s="1">
        <v>46041</v>
      </c>
      <c r="D67" s="1">
        <v>46046</v>
      </c>
      <c r="E67" t="s">
        <v>92</v>
      </c>
      <c r="F67" t="s">
        <v>93</v>
      </c>
      <c r="G67" t="s">
        <v>94</v>
      </c>
      <c r="H67">
        <v>959</v>
      </c>
      <c r="I67" t="s">
        <v>43</v>
      </c>
      <c r="J67">
        <v>10</v>
      </c>
      <c r="K67">
        <v>10549</v>
      </c>
      <c r="L67">
        <v>10</v>
      </c>
      <c r="M67" t="s">
        <v>70</v>
      </c>
      <c r="N67">
        <v>15</v>
      </c>
      <c r="O67">
        <v>3.8</v>
      </c>
      <c r="P67" t="s">
        <v>32</v>
      </c>
      <c r="Q67" t="s">
        <v>62</v>
      </c>
      <c r="R67" t="s">
        <v>54</v>
      </c>
      <c r="S67">
        <v>2</v>
      </c>
      <c r="T67">
        <v>5</v>
      </c>
      <c r="U67">
        <v>3</v>
      </c>
      <c r="V67" t="s">
        <v>46</v>
      </c>
      <c r="W67" t="s">
        <v>68</v>
      </c>
      <c r="X67" t="s">
        <v>63</v>
      </c>
      <c r="Y67" t="s">
        <v>33</v>
      </c>
      <c r="Z67">
        <v>3.7</v>
      </c>
    </row>
    <row r="68" spans="1:26" x14ac:dyDescent="0.3">
      <c r="A68" t="s">
        <v>177</v>
      </c>
      <c r="B68" s="1">
        <v>46079</v>
      </c>
      <c r="C68" s="1">
        <v>46080</v>
      </c>
      <c r="D68" s="1">
        <v>46082</v>
      </c>
      <c r="E68" t="s">
        <v>40</v>
      </c>
      <c r="F68" t="s">
        <v>41</v>
      </c>
      <c r="G68" t="s">
        <v>42</v>
      </c>
      <c r="H68">
        <v>942</v>
      </c>
      <c r="I68" t="s">
        <v>87</v>
      </c>
      <c r="J68">
        <v>6</v>
      </c>
      <c r="K68">
        <v>9420</v>
      </c>
      <c r="L68">
        <v>10</v>
      </c>
      <c r="M68" t="s">
        <v>178</v>
      </c>
      <c r="N68">
        <v>1</v>
      </c>
      <c r="O68">
        <v>3.8</v>
      </c>
      <c r="P68" t="s">
        <v>45</v>
      </c>
      <c r="Q68" t="s">
        <v>38</v>
      </c>
      <c r="R68" t="s">
        <v>34</v>
      </c>
      <c r="S68">
        <v>2</v>
      </c>
      <c r="T68">
        <v>2</v>
      </c>
      <c r="U68">
        <v>0</v>
      </c>
      <c r="V68" t="s">
        <v>35</v>
      </c>
      <c r="W68" t="s">
        <v>55</v>
      </c>
      <c r="X68" t="s">
        <v>76</v>
      </c>
      <c r="Y68" t="s">
        <v>38</v>
      </c>
      <c r="Z68">
        <v>3.1</v>
      </c>
    </row>
    <row r="69" spans="1:26" x14ac:dyDescent="0.3">
      <c r="A69" t="s">
        <v>179</v>
      </c>
      <c r="B69" s="1">
        <v>46065</v>
      </c>
      <c r="C69" s="1">
        <v>46065</v>
      </c>
      <c r="D69" s="1">
        <v>46068</v>
      </c>
      <c r="E69" t="s">
        <v>82</v>
      </c>
      <c r="F69" t="s">
        <v>83</v>
      </c>
      <c r="G69" t="s">
        <v>84</v>
      </c>
      <c r="H69">
        <v>1356</v>
      </c>
      <c r="I69" t="s">
        <v>60</v>
      </c>
      <c r="J69">
        <v>2</v>
      </c>
      <c r="K69">
        <v>16272</v>
      </c>
      <c r="L69">
        <v>9</v>
      </c>
      <c r="M69" t="s">
        <v>90</v>
      </c>
      <c r="N69">
        <v>10</v>
      </c>
      <c r="O69">
        <v>3.4</v>
      </c>
      <c r="P69" t="s">
        <v>45</v>
      </c>
      <c r="Q69" t="s">
        <v>62</v>
      </c>
      <c r="R69" t="s">
        <v>67</v>
      </c>
      <c r="S69">
        <v>3</v>
      </c>
      <c r="T69">
        <v>3</v>
      </c>
      <c r="U69">
        <v>0</v>
      </c>
      <c r="V69" t="s">
        <v>35</v>
      </c>
      <c r="W69" t="s">
        <v>68</v>
      </c>
      <c r="X69" t="s">
        <v>37</v>
      </c>
      <c r="Y69" t="s">
        <v>38</v>
      </c>
      <c r="Z69">
        <v>4.0999999999999996</v>
      </c>
    </row>
    <row r="70" spans="1:26" x14ac:dyDescent="0.3">
      <c r="A70" t="s">
        <v>180</v>
      </c>
      <c r="B70" s="1">
        <v>46125</v>
      </c>
      <c r="C70" s="1">
        <v>46125</v>
      </c>
      <c r="D70" s="1">
        <v>46129</v>
      </c>
      <c r="E70" t="s">
        <v>72</v>
      </c>
      <c r="F70" t="s">
        <v>73</v>
      </c>
      <c r="G70" t="s">
        <v>74</v>
      </c>
      <c r="H70">
        <v>1553</v>
      </c>
      <c r="I70" t="s">
        <v>87</v>
      </c>
      <c r="J70">
        <v>3</v>
      </c>
      <c r="K70">
        <v>9318</v>
      </c>
      <c r="L70">
        <v>7</v>
      </c>
      <c r="M70" t="s">
        <v>125</v>
      </c>
      <c r="N70">
        <v>10</v>
      </c>
      <c r="O70">
        <v>3.6</v>
      </c>
      <c r="P70" t="s">
        <v>45</v>
      </c>
      <c r="Q70" t="s">
        <v>62</v>
      </c>
      <c r="R70" t="s">
        <v>67</v>
      </c>
      <c r="S70">
        <v>3</v>
      </c>
      <c r="T70">
        <v>4</v>
      </c>
      <c r="U70">
        <v>1</v>
      </c>
      <c r="V70" t="s">
        <v>46</v>
      </c>
      <c r="W70" t="s">
        <v>55</v>
      </c>
      <c r="X70" t="s">
        <v>63</v>
      </c>
      <c r="Y70" t="s">
        <v>33</v>
      </c>
      <c r="Z70">
        <v>3.1</v>
      </c>
    </row>
    <row r="71" spans="1:26" x14ac:dyDescent="0.3">
      <c r="A71" t="s">
        <v>181</v>
      </c>
      <c r="B71" s="1">
        <v>46080</v>
      </c>
      <c r="C71" s="1">
        <v>46081</v>
      </c>
      <c r="D71" s="1">
        <v>46084</v>
      </c>
      <c r="E71" t="s">
        <v>72</v>
      </c>
      <c r="F71" t="s">
        <v>73</v>
      </c>
      <c r="G71" t="s">
        <v>74</v>
      </c>
      <c r="H71">
        <v>1125</v>
      </c>
      <c r="I71" t="s">
        <v>60</v>
      </c>
      <c r="J71">
        <v>10</v>
      </c>
      <c r="K71">
        <v>6750</v>
      </c>
      <c r="L71">
        <v>10</v>
      </c>
      <c r="M71" t="s">
        <v>103</v>
      </c>
      <c r="N71">
        <v>9</v>
      </c>
      <c r="O71">
        <v>3.6</v>
      </c>
      <c r="P71" t="s">
        <v>32</v>
      </c>
      <c r="Q71" t="s">
        <v>38</v>
      </c>
      <c r="R71" t="s">
        <v>34</v>
      </c>
      <c r="S71">
        <v>2</v>
      </c>
      <c r="T71">
        <v>3</v>
      </c>
      <c r="U71">
        <v>1</v>
      </c>
      <c r="V71" t="s">
        <v>46</v>
      </c>
      <c r="W71" t="s">
        <v>68</v>
      </c>
      <c r="X71" t="s">
        <v>63</v>
      </c>
      <c r="Y71" t="s">
        <v>62</v>
      </c>
      <c r="Z71">
        <v>4.4000000000000004</v>
      </c>
    </row>
    <row r="72" spans="1:26" x14ac:dyDescent="0.3">
      <c r="A72" t="s">
        <v>182</v>
      </c>
      <c r="B72" s="1">
        <v>46079</v>
      </c>
      <c r="C72" s="1">
        <v>46079</v>
      </c>
      <c r="D72" s="1">
        <v>46082</v>
      </c>
      <c r="E72" t="s">
        <v>72</v>
      </c>
      <c r="F72" t="s">
        <v>73</v>
      </c>
      <c r="G72" t="s">
        <v>74</v>
      </c>
      <c r="H72">
        <v>859</v>
      </c>
      <c r="I72" t="s">
        <v>60</v>
      </c>
      <c r="J72">
        <v>2</v>
      </c>
      <c r="K72">
        <v>6013</v>
      </c>
      <c r="L72">
        <v>7</v>
      </c>
      <c r="M72" t="s">
        <v>139</v>
      </c>
      <c r="N72">
        <v>11</v>
      </c>
      <c r="O72">
        <v>4.2</v>
      </c>
      <c r="P72" t="s">
        <v>66</v>
      </c>
      <c r="Q72" t="s">
        <v>62</v>
      </c>
      <c r="R72" t="s">
        <v>54</v>
      </c>
      <c r="S72">
        <v>1</v>
      </c>
      <c r="T72">
        <v>3</v>
      </c>
      <c r="U72">
        <v>2</v>
      </c>
      <c r="V72" t="s">
        <v>46</v>
      </c>
      <c r="W72" t="s">
        <v>68</v>
      </c>
      <c r="X72" t="s">
        <v>76</v>
      </c>
      <c r="Y72" t="s">
        <v>33</v>
      </c>
      <c r="Z72">
        <v>3.9</v>
      </c>
    </row>
    <row r="73" spans="1:26" x14ac:dyDescent="0.3">
      <c r="A73" t="s">
        <v>183</v>
      </c>
      <c r="B73" s="1">
        <v>46124</v>
      </c>
      <c r="C73" s="1">
        <v>46126</v>
      </c>
      <c r="D73" s="1">
        <v>46130</v>
      </c>
      <c r="E73" t="s">
        <v>72</v>
      </c>
      <c r="F73" t="s">
        <v>73</v>
      </c>
      <c r="G73" t="s">
        <v>74</v>
      </c>
      <c r="H73">
        <v>1540</v>
      </c>
      <c r="I73" t="s">
        <v>60</v>
      </c>
      <c r="J73">
        <v>7</v>
      </c>
      <c r="K73">
        <v>13860</v>
      </c>
      <c r="L73">
        <v>6</v>
      </c>
      <c r="M73" t="s">
        <v>114</v>
      </c>
      <c r="N73">
        <v>6</v>
      </c>
      <c r="O73">
        <v>4.7</v>
      </c>
      <c r="P73" t="s">
        <v>53</v>
      </c>
      <c r="Q73" t="s">
        <v>62</v>
      </c>
      <c r="R73" t="s">
        <v>54</v>
      </c>
      <c r="S73">
        <v>3</v>
      </c>
      <c r="T73">
        <v>4</v>
      </c>
      <c r="U73">
        <v>1</v>
      </c>
      <c r="V73" t="s">
        <v>46</v>
      </c>
      <c r="W73" t="s">
        <v>68</v>
      </c>
      <c r="X73" t="s">
        <v>47</v>
      </c>
      <c r="Y73" t="s">
        <v>33</v>
      </c>
      <c r="Z73">
        <v>3.5</v>
      </c>
    </row>
    <row r="74" spans="1:26" x14ac:dyDescent="0.3">
      <c r="A74" t="s">
        <v>184</v>
      </c>
      <c r="B74" s="1">
        <v>46042</v>
      </c>
      <c r="C74" s="1">
        <v>46044</v>
      </c>
      <c r="D74" s="1">
        <v>46045</v>
      </c>
      <c r="E74" t="s">
        <v>92</v>
      </c>
      <c r="F74" t="s">
        <v>93</v>
      </c>
      <c r="G74" t="s">
        <v>94</v>
      </c>
      <c r="H74">
        <v>337</v>
      </c>
      <c r="I74" t="s">
        <v>87</v>
      </c>
      <c r="J74">
        <v>2</v>
      </c>
      <c r="K74">
        <v>2022</v>
      </c>
      <c r="L74">
        <v>8</v>
      </c>
      <c r="M74" t="s">
        <v>107</v>
      </c>
      <c r="N74">
        <v>12</v>
      </c>
      <c r="O74">
        <v>4.5</v>
      </c>
      <c r="P74" t="s">
        <v>45</v>
      </c>
      <c r="Q74" t="s">
        <v>33</v>
      </c>
      <c r="R74" t="s">
        <v>67</v>
      </c>
      <c r="S74">
        <v>1</v>
      </c>
      <c r="T74">
        <v>1</v>
      </c>
      <c r="U74">
        <v>0</v>
      </c>
      <c r="V74" t="s">
        <v>35</v>
      </c>
      <c r="W74" t="s">
        <v>68</v>
      </c>
      <c r="X74" t="s">
        <v>47</v>
      </c>
      <c r="Y74" t="s">
        <v>33</v>
      </c>
      <c r="Z74">
        <v>4.9000000000000004</v>
      </c>
    </row>
    <row r="75" spans="1:26" x14ac:dyDescent="0.3">
      <c r="A75" t="s">
        <v>185</v>
      </c>
      <c r="B75" s="1">
        <v>46077</v>
      </c>
      <c r="C75" s="1">
        <v>46079</v>
      </c>
      <c r="D75" s="1">
        <v>46082</v>
      </c>
      <c r="E75" t="s">
        <v>27</v>
      </c>
      <c r="F75" t="s">
        <v>28</v>
      </c>
      <c r="G75" t="s">
        <v>29</v>
      </c>
      <c r="H75">
        <v>789</v>
      </c>
      <c r="I75" t="s">
        <v>30</v>
      </c>
      <c r="J75">
        <v>6</v>
      </c>
      <c r="K75">
        <v>4734</v>
      </c>
      <c r="L75">
        <v>9</v>
      </c>
      <c r="M75" t="s">
        <v>186</v>
      </c>
      <c r="N75">
        <v>4</v>
      </c>
      <c r="O75">
        <v>3.3</v>
      </c>
      <c r="P75" t="s">
        <v>53</v>
      </c>
      <c r="Q75" t="s">
        <v>38</v>
      </c>
      <c r="R75" t="s">
        <v>67</v>
      </c>
      <c r="S75">
        <v>1</v>
      </c>
      <c r="T75">
        <v>3</v>
      </c>
      <c r="U75">
        <v>2</v>
      </c>
      <c r="V75" t="s">
        <v>46</v>
      </c>
      <c r="W75" t="s">
        <v>68</v>
      </c>
      <c r="X75" t="s">
        <v>63</v>
      </c>
      <c r="Y75" t="s">
        <v>62</v>
      </c>
      <c r="Z75">
        <v>4.0999999999999996</v>
      </c>
    </row>
    <row r="76" spans="1:26" x14ac:dyDescent="0.3">
      <c r="A76" t="s">
        <v>187</v>
      </c>
      <c r="B76" s="1">
        <v>46126</v>
      </c>
      <c r="C76" s="1">
        <v>46127</v>
      </c>
      <c r="D76" s="1">
        <v>46130</v>
      </c>
      <c r="E76" t="s">
        <v>27</v>
      </c>
      <c r="F76" t="s">
        <v>28</v>
      </c>
      <c r="G76" t="s">
        <v>29</v>
      </c>
      <c r="H76">
        <v>1447</v>
      </c>
      <c r="I76" t="s">
        <v>30</v>
      </c>
      <c r="J76">
        <v>1</v>
      </c>
      <c r="K76">
        <v>10129</v>
      </c>
      <c r="L76">
        <v>7</v>
      </c>
      <c r="M76" t="s">
        <v>65</v>
      </c>
      <c r="N76">
        <v>13</v>
      </c>
      <c r="O76">
        <v>3.6</v>
      </c>
      <c r="P76" t="s">
        <v>66</v>
      </c>
      <c r="Q76" t="s">
        <v>62</v>
      </c>
      <c r="R76" t="s">
        <v>67</v>
      </c>
      <c r="S76">
        <v>3</v>
      </c>
      <c r="T76">
        <v>3</v>
      </c>
      <c r="U76">
        <v>0</v>
      </c>
      <c r="V76" t="s">
        <v>35</v>
      </c>
      <c r="W76" t="s">
        <v>55</v>
      </c>
      <c r="X76" t="s">
        <v>95</v>
      </c>
      <c r="Y76" t="s">
        <v>38</v>
      </c>
      <c r="Z76">
        <v>3.3</v>
      </c>
    </row>
    <row r="77" spans="1:26" x14ac:dyDescent="0.3">
      <c r="A77" t="s">
        <v>188</v>
      </c>
      <c r="B77" s="1">
        <v>46104</v>
      </c>
      <c r="C77" s="1">
        <v>46104</v>
      </c>
      <c r="D77" s="1">
        <v>46108</v>
      </c>
      <c r="E77" t="s">
        <v>72</v>
      </c>
      <c r="F77" t="s">
        <v>73</v>
      </c>
      <c r="G77" t="s">
        <v>74</v>
      </c>
      <c r="H77">
        <v>1728</v>
      </c>
      <c r="I77" t="s">
        <v>60</v>
      </c>
      <c r="J77">
        <v>7</v>
      </c>
      <c r="K77">
        <v>15552</v>
      </c>
      <c r="L77">
        <v>8</v>
      </c>
      <c r="M77" t="s">
        <v>143</v>
      </c>
      <c r="N77">
        <v>3</v>
      </c>
      <c r="O77">
        <v>3.7</v>
      </c>
      <c r="P77" t="s">
        <v>66</v>
      </c>
      <c r="Q77" t="s">
        <v>33</v>
      </c>
      <c r="R77" t="s">
        <v>54</v>
      </c>
      <c r="S77">
        <v>3</v>
      </c>
      <c r="T77">
        <v>4</v>
      </c>
      <c r="U77">
        <v>1</v>
      </c>
      <c r="V77" t="s">
        <v>46</v>
      </c>
      <c r="W77" t="s">
        <v>36</v>
      </c>
      <c r="X77" t="s">
        <v>76</v>
      </c>
      <c r="Y77" t="s">
        <v>38</v>
      </c>
      <c r="Z77">
        <v>4.3</v>
      </c>
    </row>
    <row r="78" spans="1:26" x14ac:dyDescent="0.3">
      <c r="A78" t="s">
        <v>189</v>
      </c>
      <c r="B78" s="1">
        <v>46057</v>
      </c>
      <c r="C78" s="1">
        <v>46058</v>
      </c>
      <c r="D78" s="1">
        <v>46063</v>
      </c>
      <c r="E78" t="s">
        <v>111</v>
      </c>
      <c r="F78" t="s">
        <v>27</v>
      </c>
      <c r="G78" t="s">
        <v>112</v>
      </c>
      <c r="H78">
        <v>1194</v>
      </c>
      <c r="I78" t="s">
        <v>43</v>
      </c>
      <c r="J78">
        <v>7</v>
      </c>
      <c r="K78">
        <v>9552</v>
      </c>
      <c r="L78">
        <v>6</v>
      </c>
      <c r="M78" t="s">
        <v>190</v>
      </c>
      <c r="N78">
        <v>9</v>
      </c>
      <c r="O78">
        <v>3.2</v>
      </c>
      <c r="P78" t="s">
        <v>53</v>
      </c>
      <c r="Q78" t="s">
        <v>38</v>
      </c>
      <c r="R78" t="s">
        <v>34</v>
      </c>
      <c r="S78">
        <v>2</v>
      </c>
      <c r="T78">
        <v>5</v>
      </c>
      <c r="U78">
        <v>3</v>
      </c>
      <c r="V78" t="s">
        <v>46</v>
      </c>
      <c r="W78" t="s">
        <v>55</v>
      </c>
      <c r="X78" t="s">
        <v>47</v>
      </c>
      <c r="Y78" t="s">
        <v>38</v>
      </c>
      <c r="Z78">
        <v>3.4</v>
      </c>
    </row>
    <row r="79" spans="1:26" x14ac:dyDescent="0.3">
      <c r="A79" t="s">
        <v>191</v>
      </c>
      <c r="B79" s="1">
        <v>46099</v>
      </c>
      <c r="C79" s="1">
        <v>46099</v>
      </c>
      <c r="D79" s="1">
        <v>46101</v>
      </c>
      <c r="E79" t="s">
        <v>27</v>
      </c>
      <c r="F79" t="s">
        <v>28</v>
      </c>
      <c r="G79" t="s">
        <v>29</v>
      </c>
      <c r="H79">
        <v>618</v>
      </c>
      <c r="I79" t="s">
        <v>30</v>
      </c>
      <c r="J79">
        <v>4</v>
      </c>
      <c r="K79">
        <v>7416</v>
      </c>
      <c r="L79">
        <v>6</v>
      </c>
      <c r="M79" t="s">
        <v>190</v>
      </c>
      <c r="N79">
        <v>5</v>
      </c>
      <c r="O79">
        <v>3.6</v>
      </c>
      <c r="P79" t="s">
        <v>32</v>
      </c>
      <c r="Q79" t="s">
        <v>38</v>
      </c>
      <c r="R79" t="s">
        <v>34</v>
      </c>
      <c r="S79">
        <v>1</v>
      </c>
      <c r="T79">
        <v>2</v>
      </c>
      <c r="U79">
        <v>1</v>
      </c>
      <c r="V79" t="s">
        <v>46</v>
      </c>
      <c r="W79" t="s">
        <v>36</v>
      </c>
      <c r="X79" t="s">
        <v>37</v>
      </c>
      <c r="Y79" t="s">
        <v>62</v>
      </c>
      <c r="Z79">
        <v>4.0999999999999996</v>
      </c>
    </row>
    <row r="80" spans="1:26" x14ac:dyDescent="0.3">
      <c r="A80" t="s">
        <v>192</v>
      </c>
      <c r="B80" s="1">
        <v>46052</v>
      </c>
      <c r="C80" s="1">
        <v>46054</v>
      </c>
      <c r="D80" s="1">
        <v>46060</v>
      </c>
      <c r="E80" t="s">
        <v>49</v>
      </c>
      <c r="F80" t="s">
        <v>50</v>
      </c>
      <c r="G80" t="s">
        <v>51</v>
      </c>
      <c r="H80">
        <v>347</v>
      </c>
      <c r="I80" t="s">
        <v>43</v>
      </c>
      <c r="J80">
        <v>1</v>
      </c>
      <c r="K80">
        <v>3123</v>
      </c>
      <c r="L80">
        <v>5</v>
      </c>
      <c r="M80" t="s">
        <v>61</v>
      </c>
      <c r="N80">
        <v>15</v>
      </c>
      <c r="O80">
        <v>3.2</v>
      </c>
      <c r="P80" t="s">
        <v>66</v>
      </c>
      <c r="Q80" t="s">
        <v>33</v>
      </c>
      <c r="R80" t="s">
        <v>34</v>
      </c>
      <c r="S80">
        <v>1</v>
      </c>
      <c r="T80">
        <v>6</v>
      </c>
      <c r="U80">
        <v>5</v>
      </c>
      <c r="V80" t="s">
        <v>46</v>
      </c>
      <c r="W80" t="s">
        <v>68</v>
      </c>
      <c r="X80" t="s">
        <v>47</v>
      </c>
      <c r="Y80" t="s">
        <v>38</v>
      </c>
      <c r="Z80">
        <v>3.8</v>
      </c>
    </row>
    <row r="81" spans="1:26" x14ac:dyDescent="0.3">
      <c r="A81" t="s">
        <v>193</v>
      </c>
      <c r="B81" s="1">
        <v>46064</v>
      </c>
      <c r="C81" s="1">
        <v>46064</v>
      </c>
      <c r="D81" s="1">
        <v>46068</v>
      </c>
      <c r="E81" t="s">
        <v>92</v>
      </c>
      <c r="F81" t="s">
        <v>93</v>
      </c>
      <c r="G81" t="s">
        <v>94</v>
      </c>
      <c r="H81">
        <v>1612</v>
      </c>
      <c r="I81" t="s">
        <v>30</v>
      </c>
      <c r="J81">
        <v>2</v>
      </c>
      <c r="K81">
        <v>14508</v>
      </c>
      <c r="L81">
        <v>5</v>
      </c>
      <c r="M81" t="s">
        <v>125</v>
      </c>
      <c r="N81">
        <v>7</v>
      </c>
      <c r="O81">
        <v>4.2</v>
      </c>
      <c r="P81" t="s">
        <v>32</v>
      </c>
      <c r="Q81" t="s">
        <v>62</v>
      </c>
      <c r="R81" t="s">
        <v>34</v>
      </c>
      <c r="S81">
        <v>3</v>
      </c>
      <c r="T81">
        <v>4</v>
      </c>
      <c r="U81">
        <v>1</v>
      </c>
      <c r="V81" t="s">
        <v>46</v>
      </c>
      <c r="W81" t="s">
        <v>36</v>
      </c>
      <c r="X81" t="s">
        <v>47</v>
      </c>
      <c r="Y81" t="s">
        <v>38</v>
      </c>
      <c r="Z81">
        <v>3.2</v>
      </c>
    </row>
    <row r="82" spans="1:26" x14ac:dyDescent="0.3">
      <c r="A82" t="s">
        <v>194</v>
      </c>
      <c r="B82" s="1">
        <v>46104</v>
      </c>
      <c r="C82" s="1">
        <v>46104</v>
      </c>
      <c r="D82" s="1">
        <v>46108</v>
      </c>
      <c r="E82" t="s">
        <v>40</v>
      </c>
      <c r="F82" t="s">
        <v>41</v>
      </c>
      <c r="G82" t="s">
        <v>42</v>
      </c>
      <c r="H82">
        <v>1789</v>
      </c>
      <c r="I82" t="s">
        <v>30</v>
      </c>
      <c r="J82">
        <v>6</v>
      </c>
      <c r="K82">
        <v>19679</v>
      </c>
      <c r="L82">
        <v>10</v>
      </c>
      <c r="M82" t="s">
        <v>70</v>
      </c>
      <c r="N82">
        <v>4</v>
      </c>
      <c r="O82">
        <v>3.2</v>
      </c>
      <c r="P82" t="s">
        <v>66</v>
      </c>
      <c r="Q82" t="s">
        <v>38</v>
      </c>
      <c r="R82" t="s">
        <v>67</v>
      </c>
      <c r="S82">
        <v>3</v>
      </c>
      <c r="T82">
        <v>4</v>
      </c>
      <c r="U82">
        <v>1</v>
      </c>
      <c r="V82" t="s">
        <v>46</v>
      </c>
      <c r="W82" t="s">
        <v>55</v>
      </c>
      <c r="X82" t="s">
        <v>63</v>
      </c>
      <c r="Y82" t="s">
        <v>38</v>
      </c>
      <c r="Z82">
        <v>4.9000000000000004</v>
      </c>
    </row>
    <row r="83" spans="1:26" x14ac:dyDescent="0.3">
      <c r="A83" t="s">
        <v>195</v>
      </c>
      <c r="B83" s="1">
        <v>46103</v>
      </c>
      <c r="C83" s="1">
        <v>46104</v>
      </c>
      <c r="D83" s="1">
        <v>46108</v>
      </c>
      <c r="E83" t="s">
        <v>92</v>
      </c>
      <c r="F83" t="s">
        <v>93</v>
      </c>
      <c r="G83" t="s">
        <v>94</v>
      </c>
      <c r="H83">
        <v>1745</v>
      </c>
      <c r="I83" t="s">
        <v>43</v>
      </c>
      <c r="J83">
        <v>10</v>
      </c>
      <c r="K83">
        <v>19195</v>
      </c>
      <c r="L83">
        <v>10</v>
      </c>
      <c r="M83" t="s">
        <v>139</v>
      </c>
      <c r="N83">
        <v>6</v>
      </c>
      <c r="O83">
        <v>4.7</v>
      </c>
      <c r="P83" t="s">
        <v>66</v>
      </c>
      <c r="Q83" t="s">
        <v>38</v>
      </c>
      <c r="R83" t="s">
        <v>34</v>
      </c>
      <c r="S83">
        <v>3</v>
      </c>
      <c r="T83">
        <v>4</v>
      </c>
      <c r="U83">
        <v>1</v>
      </c>
      <c r="V83" t="s">
        <v>46</v>
      </c>
      <c r="W83" t="s">
        <v>68</v>
      </c>
      <c r="X83" t="s">
        <v>47</v>
      </c>
      <c r="Y83" t="s">
        <v>62</v>
      </c>
      <c r="Z83">
        <v>4.2</v>
      </c>
    </row>
    <row r="84" spans="1:26" x14ac:dyDescent="0.3">
      <c r="A84" t="s">
        <v>196</v>
      </c>
      <c r="B84" s="1">
        <v>46068</v>
      </c>
      <c r="C84" s="1">
        <v>46070</v>
      </c>
      <c r="D84" s="1">
        <v>46074</v>
      </c>
      <c r="E84" t="s">
        <v>72</v>
      </c>
      <c r="F84" t="s">
        <v>73</v>
      </c>
      <c r="G84" t="s">
        <v>74</v>
      </c>
      <c r="H84">
        <v>835</v>
      </c>
      <c r="I84" t="s">
        <v>43</v>
      </c>
      <c r="J84">
        <v>8</v>
      </c>
      <c r="K84">
        <v>5010</v>
      </c>
      <c r="L84">
        <v>5</v>
      </c>
      <c r="M84" t="s">
        <v>80</v>
      </c>
      <c r="N84">
        <v>14</v>
      </c>
      <c r="O84">
        <v>3.6</v>
      </c>
      <c r="P84" t="s">
        <v>32</v>
      </c>
      <c r="Q84" t="s">
        <v>33</v>
      </c>
      <c r="R84" t="s">
        <v>54</v>
      </c>
      <c r="S84">
        <v>1</v>
      </c>
      <c r="T84">
        <v>4</v>
      </c>
      <c r="U84">
        <v>3</v>
      </c>
      <c r="V84" t="s">
        <v>46</v>
      </c>
      <c r="W84" t="s">
        <v>55</v>
      </c>
      <c r="X84" t="s">
        <v>76</v>
      </c>
      <c r="Y84" t="s">
        <v>33</v>
      </c>
      <c r="Z84">
        <v>4.8</v>
      </c>
    </row>
    <row r="85" spans="1:26" x14ac:dyDescent="0.3">
      <c r="A85" t="s">
        <v>197</v>
      </c>
      <c r="B85" s="1">
        <v>46080</v>
      </c>
      <c r="C85" s="1">
        <v>46082</v>
      </c>
      <c r="D85" s="1">
        <v>46084</v>
      </c>
      <c r="E85" t="s">
        <v>40</v>
      </c>
      <c r="F85" t="s">
        <v>41</v>
      </c>
      <c r="G85" t="s">
        <v>42</v>
      </c>
      <c r="H85">
        <v>858</v>
      </c>
      <c r="I85" t="s">
        <v>43</v>
      </c>
      <c r="J85">
        <v>9</v>
      </c>
      <c r="K85">
        <v>6006</v>
      </c>
      <c r="L85">
        <v>5</v>
      </c>
      <c r="M85" t="s">
        <v>128</v>
      </c>
      <c r="N85">
        <v>2</v>
      </c>
      <c r="O85">
        <v>4.5999999999999996</v>
      </c>
      <c r="P85" t="s">
        <v>66</v>
      </c>
      <c r="Q85" t="s">
        <v>33</v>
      </c>
      <c r="R85" t="s">
        <v>67</v>
      </c>
      <c r="S85">
        <v>1</v>
      </c>
      <c r="T85">
        <v>2</v>
      </c>
      <c r="U85">
        <v>1</v>
      </c>
      <c r="V85" t="s">
        <v>46</v>
      </c>
      <c r="W85" t="s">
        <v>55</v>
      </c>
      <c r="X85" t="s">
        <v>95</v>
      </c>
      <c r="Y85" t="s">
        <v>62</v>
      </c>
      <c r="Z85">
        <v>4</v>
      </c>
    </row>
    <row r="86" spans="1:26" x14ac:dyDescent="0.3">
      <c r="A86" t="s">
        <v>198</v>
      </c>
      <c r="B86" s="1">
        <v>46101</v>
      </c>
      <c r="C86" s="1">
        <v>46101</v>
      </c>
      <c r="D86" s="1">
        <v>46104</v>
      </c>
      <c r="E86" t="s">
        <v>49</v>
      </c>
      <c r="F86" t="s">
        <v>50</v>
      </c>
      <c r="G86" t="s">
        <v>51</v>
      </c>
      <c r="H86">
        <v>963</v>
      </c>
      <c r="I86" t="s">
        <v>30</v>
      </c>
      <c r="J86">
        <v>7</v>
      </c>
      <c r="K86">
        <v>8667</v>
      </c>
      <c r="L86">
        <v>7</v>
      </c>
      <c r="M86" t="s">
        <v>123</v>
      </c>
      <c r="N86">
        <v>10</v>
      </c>
      <c r="O86">
        <v>3.1</v>
      </c>
      <c r="P86" t="s">
        <v>66</v>
      </c>
      <c r="Q86" t="s">
        <v>38</v>
      </c>
      <c r="R86" t="s">
        <v>34</v>
      </c>
      <c r="S86">
        <v>2</v>
      </c>
      <c r="T86">
        <v>3</v>
      </c>
      <c r="U86">
        <v>1</v>
      </c>
      <c r="V86" t="s">
        <v>46</v>
      </c>
      <c r="W86" t="s">
        <v>68</v>
      </c>
      <c r="X86" t="s">
        <v>47</v>
      </c>
      <c r="Y86" t="s">
        <v>33</v>
      </c>
      <c r="Z86">
        <v>4.7</v>
      </c>
    </row>
    <row r="87" spans="1:26" x14ac:dyDescent="0.3">
      <c r="A87" t="s">
        <v>199</v>
      </c>
      <c r="B87" s="1">
        <v>46139</v>
      </c>
      <c r="C87" s="1">
        <v>46141</v>
      </c>
      <c r="D87" s="1">
        <v>46142</v>
      </c>
      <c r="E87" t="s">
        <v>82</v>
      </c>
      <c r="F87" t="s">
        <v>83</v>
      </c>
      <c r="G87" t="s">
        <v>84</v>
      </c>
      <c r="H87">
        <v>882</v>
      </c>
      <c r="I87" t="s">
        <v>87</v>
      </c>
      <c r="J87">
        <v>10</v>
      </c>
      <c r="K87">
        <v>9702</v>
      </c>
      <c r="L87">
        <v>6</v>
      </c>
      <c r="M87" t="s">
        <v>178</v>
      </c>
      <c r="N87">
        <v>5</v>
      </c>
      <c r="O87">
        <v>4.9000000000000004</v>
      </c>
      <c r="P87" t="s">
        <v>53</v>
      </c>
      <c r="Q87" t="s">
        <v>38</v>
      </c>
      <c r="R87" t="s">
        <v>54</v>
      </c>
      <c r="S87">
        <v>1</v>
      </c>
      <c r="T87">
        <v>1</v>
      </c>
      <c r="U87">
        <v>0</v>
      </c>
      <c r="V87" t="s">
        <v>35</v>
      </c>
      <c r="W87" t="s">
        <v>68</v>
      </c>
      <c r="X87" t="s">
        <v>76</v>
      </c>
      <c r="Y87" t="s">
        <v>62</v>
      </c>
      <c r="Z87">
        <v>4.3</v>
      </c>
    </row>
    <row r="88" spans="1:26" x14ac:dyDescent="0.3">
      <c r="A88" t="s">
        <v>200</v>
      </c>
      <c r="B88" s="1">
        <v>46065</v>
      </c>
      <c r="C88" s="1">
        <v>46065</v>
      </c>
      <c r="D88" s="1">
        <v>46068</v>
      </c>
      <c r="E88" t="s">
        <v>72</v>
      </c>
      <c r="F88" t="s">
        <v>73</v>
      </c>
      <c r="G88" t="s">
        <v>74</v>
      </c>
      <c r="H88">
        <v>1523</v>
      </c>
      <c r="I88" t="s">
        <v>43</v>
      </c>
      <c r="J88">
        <v>9</v>
      </c>
      <c r="K88">
        <v>12184</v>
      </c>
      <c r="L88">
        <v>5</v>
      </c>
      <c r="M88" t="s">
        <v>80</v>
      </c>
      <c r="N88">
        <v>5</v>
      </c>
      <c r="O88">
        <v>3.4</v>
      </c>
      <c r="P88" t="s">
        <v>45</v>
      </c>
      <c r="Q88" t="s">
        <v>62</v>
      </c>
      <c r="R88" t="s">
        <v>34</v>
      </c>
      <c r="S88">
        <v>3</v>
      </c>
      <c r="T88">
        <v>3</v>
      </c>
      <c r="U88">
        <v>0</v>
      </c>
      <c r="V88" t="s">
        <v>35</v>
      </c>
      <c r="W88" t="s">
        <v>36</v>
      </c>
      <c r="X88" t="s">
        <v>37</v>
      </c>
      <c r="Y88" t="s">
        <v>38</v>
      </c>
      <c r="Z88">
        <v>3.6</v>
      </c>
    </row>
    <row r="89" spans="1:26" x14ac:dyDescent="0.3">
      <c r="A89" t="s">
        <v>201</v>
      </c>
      <c r="B89" s="1">
        <v>46123</v>
      </c>
      <c r="C89" s="1">
        <v>46123</v>
      </c>
      <c r="D89" s="1">
        <v>46128</v>
      </c>
      <c r="E89" t="s">
        <v>27</v>
      </c>
      <c r="F89" t="s">
        <v>28</v>
      </c>
      <c r="G89" t="s">
        <v>29</v>
      </c>
      <c r="H89">
        <v>1555</v>
      </c>
      <c r="I89" t="s">
        <v>30</v>
      </c>
      <c r="J89">
        <v>10</v>
      </c>
      <c r="K89">
        <v>10885</v>
      </c>
      <c r="L89">
        <v>9</v>
      </c>
      <c r="M89" t="s">
        <v>75</v>
      </c>
      <c r="N89">
        <v>3</v>
      </c>
      <c r="O89">
        <v>3.3</v>
      </c>
      <c r="P89" t="s">
        <v>45</v>
      </c>
      <c r="Q89" t="s">
        <v>33</v>
      </c>
      <c r="R89" t="s">
        <v>34</v>
      </c>
      <c r="S89">
        <v>3</v>
      </c>
      <c r="T89">
        <v>5</v>
      </c>
      <c r="U89">
        <v>2</v>
      </c>
      <c r="V89" t="s">
        <v>46</v>
      </c>
      <c r="W89" t="s">
        <v>55</v>
      </c>
      <c r="X89" t="s">
        <v>37</v>
      </c>
      <c r="Y89" t="s">
        <v>62</v>
      </c>
      <c r="Z89">
        <v>4.2</v>
      </c>
    </row>
    <row r="90" spans="1:26" x14ac:dyDescent="0.3">
      <c r="A90" t="s">
        <v>202</v>
      </c>
      <c r="B90" s="1">
        <v>46119</v>
      </c>
      <c r="C90" s="1">
        <v>46121</v>
      </c>
      <c r="D90" s="1">
        <v>46124</v>
      </c>
      <c r="E90" t="s">
        <v>92</v>
      </c>
      <c r="F90" t="s">
        <v>93</v>
      </c>
      <c r="G90" t="s">
        <v>94</v>
      </c>
      <c r="H90">
        <v>679</v>
      </c>
      <c r="I90" t="s">
        <v>60</v>
      </c>
      <c r="J90">
        <v>5</v>
      </c>
      <c r="K90">
        <v>8148</v>
      </c>
      <c r="L90">
        <v>8</v>
      </c>
      <c r="M90" t="s">
        <v>160</v>
      </c>
      <c r="N90">
        <v>6</v>
      </c>
      <c r="O90">
        <v>4.4000000000000004</v>
      </c>
      <c r="P90" t="s">
        <v>53</v>
      </c>
      <c r="Q90" t="s">
        <v>62</v>
      </c>
      <c r="R90" t="s">
        <v>34</v>
      </c>
      <c r="S90">
        <v>1</v>
      </c>
      <c r="T90">
        <v>3</v>
      </c>
      <c r="U90">
        <v>2</v>
      </c>
      <c r="V90" t="s">
        <v>46</v>
      </c>
      <c r="W90" t="s">
        <v>55</v>
      </c>
      <c r="X90" t="s">
        <v>95</v>
      </c>
      <c r="Y90" t="s">
        <v>38</v>
      </c>
      <c r="Z90">
        <v>4.5999999999999996</v>
      </c>
    </row>
    <row r="91" spans="1:26" x14ac:dyDescent="0.3">
      <c r="A91" t="s">
        <v>203</v>
      </c>
      <c r="B91" s="1">
        <v>46125</v>
      </c>
      <c r="C91" s="1">
        <v>46127</v>
      </c>
      <c r="D91" s="1">
        <v>46128</v>
      </c>
      <c r="E91" t="s">
        <v>82</v>
      </c>
      <c r="F91" t="s">
        <v>83</v>
      </c>
      <c r="G91" t="s">
        <v>84</v>
      </c>
      <c r="H91">
        <v>712</v>
      </c>
      <c r="I91" t="s">
        <v>87</v>
      </c>
      <c r="J91">
        <v>8</v>
      </c>
      <c r="K91">
        <v>8544</v>
      </c>
      <c r="L91">
        <v>7</v>
      </c>
      <c r="M91" t="s">
        <v>88</v>
      </c>
      <c r="N91">
        <v>15</v>
      </c>
      <c r="O91">
        <v>3.2</v>
      </c>
      <c r="P91" t="s">
        <v>32</v>
      </c>
      <c r="Q91" t="s">
        <v>62</v>
      </c>
      <c r="R91" t="s">
        <v>67</v>
      </c>
      <c r="S91">
        <v>1</v>
      </c>
      <c r="T91">
        <v>1</v>
      </c>
      <c r="U91">
        <v>0</v>
      </c>
      <c r="V91" t="s">
        <v>35</v>
      </c>
      <c r="W91" t="s">
        <v>68</v>
      </c>
      <c r="X91" t="s">
        <v>95</v>
      </c>
      <c r="Y91" t="s">
        <v>33</v>
      </c>
      <c r="Z91">
        <v>3.3</v>
      </c>
    </row>
    <row r="92" spans="1:26" x14ac:dyDescent="0.3">
      <c r="A92" t="s">
        <v>204</v>
      </c>
      <c r="B92" s="1">
        <v>46078</v>
      </c>
      <c r="C92" s="1">
        <v>46078</v>
      </c>
      <c r="D92" s="1">
        <v>46080</v>
      </c>
      <c r="E92" t="s">
        <v>40</v>
      </c>
      <c r="F92" t="s">
        <v>41</v>
      </c>
      <c r="G92" t="s">
        <v>42</v>
      </c>
      <c r="H92">
        <v>1123</v>
      </c>
      <c r="I92" t="s">
        <v>30</v>
      </c>
      <c r="J92">
        <v>1</v>
      </c>
      <c r="K92">
        <v>10107</v>
      </c>
      <c r="L92">
        <v>5</v>
      </c>
      <c r="M92" t="s">
        <v>205</v>
      </c>
      <c r="N92">
        <v>9</v>
      </c>
      <c r="O92">
        <v>3.7</v>
      </c>
      <c r="P92" t="s">
        <v>53</v>
      </c>
      <c r="Q92" t="s">
        <v>38</v>
      </c>
      <c r="R92" t="s">
        <v>34</v>
      </c>
      <c r="S92">
        <v>2</v>
      </c>
      <c r="T92">
        <v>2</v>
      </c>
      <c r="U92">
        <v>0</v>
      </c>
      <c r="V92" t="s">
        <v>35</v>
      </c>
      <c r="W92" t="s">
        <v>68</v>
      </c>
      <c r="X92" t="s">
        <v>63</v>
      </c>
      <c r="Y92" t="s">
        <v>33</v>
      </c>
      <c r="Z92">
        <v>4.3</v>
      </c>
    </row>
    <row r="93" spans="1:26" x14ac:dyDescent="0.3">
      <c r="A93" t="s">
        <v>206</v>
      </c>
      <c r="B93" s="1">
        <v>46124</v>
      </c>
      <c r="C93" s="1">
        <v>46124</v>
      </c>
      <c r="D93" s="1">
        <v>46126</v>
      </c>
      <c r="E93" t="s">
        <v>82</v>
      </c>
      <c r="F93" t="s">
        <v>83</v>
      </c>
      <c r="G93" t="s">
        <v>84</v>
      </c>
      <c r="H93">
        <v>278</v>
      </c>
      <c r="I93" t="s">
        <v>30</v>
      </c>
      <c r="J93">
        <v>8</v>
      </c>
      <c r="K93">
        <v>3058</v>
      </c>
      <c r="L93">
        <v>6</v>
      </c>
      <c r="M93" t="s">
        <v>190</v>
      </c>
      <c r="N93">
        <v>12</v>
      </c>
      <c r="O93">
        <v>3.9</v>
      </c>
      <c r="P93" t="s">
        <v>32</v>
      </c>
      <c r="Q93" t="s">
        <v>38</v>
      </c>
      <c r="R93" t="s">
        <v>67</v>
      </c>
      <c r="S93">
        <v>1</v>
      </c>
      <c r="T93">
        <v>2</v>
      </c>
      <c r="U93">
        <v>1</v>
      </c>
      <c r="V93" t="s">
        <v>46</v>
      </c>
      <c r="W93" t="s">
        <v>36</v>
      </c>
      <c r="X93" t="s">
        <v>37</v>
      </c>
      <c r="Y93" t="s">
        <v>33</v>
      </c>
      <c r="Z93">
        <v>4.9000000000000004</v>
      </c>
    </row>
    <row r="94" spans="1:26" x14ac:dyDescent="0.3">
      <c r="A94" t="s">
        <v>207</v>
      </c>
      <c r="B94" s="1">
        <v>46100</v>
      </c>
      <c r="C94" s="1">
        <v>46102</v>
      </c>
      <c r="D94" s="1">
        <v>46105</v>
      </c>
      <c r="E94" t="s">
        <v>111</v>
      </c>
      <c r="F94" t="s">
        <v>27</v>
      </c>
      <c r="G94" t="s">
        <v>112</v>
      </c>
      <c r="H94">
        <v>427</v>
      </c>
      <c r="I94" t="s">
        <v>30</v>
      </c>
      <c r="J94">
        <v>4</v>
      </c>
      <c r="K94">
        <v>3416</v>
      </c>
      <c r="L94">
        <v>5</v>
      </c>
      <c r="M94" t="s">
        <v>208</v>
      </c>
      <c r="N94">
        <v>4</v>
      </c>
      <c r="O94">
        <v>3.8</v>
      </c>
      <c r="P94" t="s">
        <v>53</v>
      </c>
      <c r="Q94" t="s">
        <v>38</v>
      </c>
      <c r="R94" t="s">
        <v>67</v>
      </c>
      <c r="S94">
        <v>1</v>
      </c>
      <c r="T94">
        <v>3</v>
      </c>
      <c r="U94">
        <v>2</v>
      </c>
      <c r="V94" t="s">
        <v>46</v>
      </c>
      <c r="W94" t="s">
        <v>55</v>
      </c>
      <c r="X94" t="s">
        <v>63</v>
      </c>
      <c r="Y94" t="s">
        <v>33</v>
      </c>
      <c r="Z94">
        <v>4</v>
      </c>
    </row>
    <row r="95" spans="1:26" x14ac:dyDescent="0.3">
      <c r="A95" t="s">
        <v>209</v>
      </c>
      <c r="B95" s="1">
        <v>46053</v>
      </c>
      <c r="C95" s="1">
        <v>46055</v>
      </c>
      <c r="D95" s="1">
        <v>46058</v>
      </c>
      <c r="E95" t="s">
        <v>82</v>
      </c>
      <c r="F95" t="s">
        <v>83</v>
      </c>
      <c r="G95" t="s">
        <v>84</v>
      </c>
      <c r="H95">
        <v>796</v>
      </c>
      <c r="I95" t="s">
        <v>43</v>
      </c>
      <c r="J95">
        <v>1</v>
      </c>
      <c r="K95">
        <v>7960</v>
      </c>
      <c r="L95">
        <v>7</v>
      </c>
      <c r="M95" t="s">
        <v>125</v>
      </c>
      <c r="N95">
        <v>10</v>
      </c>
      <c r="O95">
        <v>3.8</v>
      </c>
      <c r="P95" t="s">
        <v>32</v>
      </c>
      <c r="Q95" t="s">
        <v>33</v>
      </c>
      <c r="R95" t="s">
        <v>34</v>
      </c>
      <c r="S95">
        <v>1</v>
      </c>
      <c r="T95">
        <v>3</v>
      </c>
      <c r="U95">
        <v>2</v>
      </c>
      <c r="V95" t="s">
        <v>46</v>
      </c>
      <c r="W95" t="s">
        <v>55</v>
      </c>
      <c r="X95" t="s">
        <v>76</v>
      </c>
      <c r="Y95" t="s">
        <v>33</v>
      </c>
      <c r="Z95">
        <v>4.0999999999999996</v>
      </c>
    </row>
    <row r="96" spans="1:26" x14ac:dyDescent="0.3">
      <c r="A96" t="s">
        <v>210</v>
      </c>
      <c r="B96" s="1">
        <v>46072</v>
      </c>
      <c r="C96" s="1">
        <v>46073</v>
      </c>
      <c r="D96" s="1">
        <v>46076</v>
      </c>
      <c r="E96" t="s">
        <v>27</v>
      </c>
      <c r="F96" t="s">
        <v>28</v>
      </c>
      <c r="G96" t="s">
        <v>29</v>
      </c>
      <c r="H96">
        <v>1501</v>
      </c>
      <c r="I96" t="s">
        <v>43</v>
      </c>
      <c r="J96">
        <v>6</v>
      </c>
      <c r="K96">
        <v>12008</v>
      </c>
      <c r="L96">
        <v>10</v>
      </c>
      <c r="M96" t="s">
        <v>135</v>
      </c>
      <c r="N96">
        <v>6</v>
      </c>
      <c r="O96">
        <v>4.5999999999999996</v>
      </c>
      <c r="P96" t="s">
        <v>66</v>
      </c>
      <c r="Q96" t="s">
        <v>38</v>
      </c>
      <c r="R96" t="s">
        <v>54</v>
      </c>
      <c r="S96">
        <v>3</v>
      </c>
      <c r="T96">
        <v>3</v>
      </c>
      <c r="U96">
        <v>0</v>
      </c>
      <c r="V96" t="s">
        <v>35</v>
      </c>
      <c r="W96" t="s">
        <v>55</v>
      </c>
      <c r="X96" t="s">
        <v>47</v>
      </c>
      <c r="Y96" t="s">
        <v>38</v>
      </c>
      <c r="Z96">
        <v>3.1</v>
      </c>
    </row>
    <row r="97" spans="1:26" x14ac:dyDescent="0.3">
      <c r="A97" t="s">
        <v>211</v>
      </c>
      <c r="B97" s="1">
        <v>46092</v>
      </c>
      <c r="C97" s="1">
        <v>46093</v>
      </c>
      <c r="D97" s="1">
        <v>46096</v>
      </c>
      <c r="E97" t="s">
        <v>82</v>
      </c>
      <c r="F97" t="s">
        <v>83</v>
      </c>
      <c r="G97" t="s">
        <v>84</v>
      </c>
      <c r="H97">
        <v>1795</v>
      </c>
      <c r="I97" t="s">
        <v>43</v>
      </c>
      <c r="J97">
        <v>8</v>
      </c>
      <c r="K97">
        <v>19745</v>
      </c>
      <c r="L97">
        <v>6</v>
      </c>
      <c r="M97" t="s">
        <v>147</v>
      </c>
      <c r="N97">
        <v>2</v>
      </c>
      <c r="O97">
        <v>4.4000000000000004</v>
      </c>
      <c r="P97" t="s">
        <v>53</v>
      </c>
      <c r="Q97" t="s">
        <v>38</v>
      </c>
      <c r="R97" t="s">
        <v>34</v>
      </c>
      <c r="S97">
        <v>3</v>
      </c>
      <c r="T97">
        <v>3</v>
      </c>
      <c r="U97">
        <v>0</v>
      </c>
      <c r="V97" t="s">
        <v>35</v>
      </c>
      <c r="W97" t="s">
        <v>36</v>
      </c>
      <c r="X97" t="s">
        <v>63</v>
      </c>
      <c r="Y97" t="s">
        <v>62</v>
      </c>
      <c r="Z97">
        <v>4.9000000000000004</v>
      </c>
    </row>
    <row r="98" spans="1:26" x14ac:dyDescent="0.3">
      <c r="A98" t="s">
        <v>212</v>
      </c>
      <c r="B98" s="1">
        <v>46088</v>
      </c>
      <c r="C98" s="1">
        <v>46089</v>
      </c>
      <c r="D98" s="1">
        <v>46091</v>
      </c>
      <c r="E98" t="s">
        <v>92</v>
      </c>
      <c r="F98" t="s">
        <v>93</v>
      </c>
      <c r="G98" t="s">
        <v>94</v>
      </c>
      <c r="H98">
        <v>718</v>
      </c>
      <c r="I98" t="s">
        <v>87</v>
      </c>
      <c r="J98">
        <v>4</v>
      </c>
      <c r="K98">
        <v>5744</v>
      </c>
      <c r="L98">
        <v>7</v>
      </c>
      <c r="M98" t="s">
        <v>170</v>
      </c>
      <c r="N98">
        <v>1</v>
      </c>
      <c r="O98">
        <v>4.7</v>
      </c>
      <c r="P98" t="s">
        <v>66</v>
      </c>
      <c r="Q98" t="s">
        <v>62</v>
      </c>
      <c r="R98" t="s">
        <v>67</v>
      </c>
      <c r="S98">
        <v>1</v>
      </c>
      <c r="T98">
        <v>2</v>
      </c>
      <c r="U98">
        <v>1</v>
      </c>
      <c r="V98" t="s">
        <v>46</v>
      </c>
      <c r="W98" t="s">
        <v>68</v>
      </c>
      <c r="X98" t="s">
        <v>95</v>
      </c>
      <c r="Y98" t="s">
        <v>62</v>
      </c>
      <c r="Z98">
        <v>3.7</v>
      </c>
    </row>
    <row r="99" spans="1:26" x14ac:dyDescent="0.3">
      <c r="A99" t="s">
        <v>213</v>
      </c>
      <c r="B99" s="1">
        <v>46046</v>
      </c>
      <c r="C99" s="1">
        <v>46047</v>
      </c>
      <c r="D99" s="1">
        <v>46049</v>
      </c>
      <c r="E99" t="s">
        <v>92</v>
      </c>
      <c r="F99" t="s">
        <v>93</v>
      </c>
      <c r="G99" t="s">
        <v>94</v>
      </c>
      <c r="H99">
        <v>952</v>
      </c>
      <c r="I99" t="s">
        <v>30</v>
      </c>
      <c r="J99">
        <v>2</v>
      </c>
      <c r="K99">
        <v>10472</v>
      </c>
      <c r="L99">
        <v>8</v>
      </c>
      <c r="M99" t="s">
        <v>109</v>
      </c>
      <c r="N99">
        <v>7</v>
      </c>
      <c r="O99">
        <v>4.2</v>
      </c>
      <c r="P99" t="s">
        <v>45</v>
      </c>
      <c r="Q99" t="s">
        <v>33</v>
      </c>
      <c r="R99" t="s">
        <v>34</v>
      </c>
      <c r="S99">
        <v>2</v>
      </c>
      <c r="T99">
        <v>2</v>
      </c>
      <c r="U99">
        <v>0</v>
      </c>
      <c r="V99" t="s">
        <v>35</v>
      </c>
      <c r="W99" t="s">
        <v>68</v>
      </c>
      <c r="X99" t="s">
        <v>47</v>
      </c>
      <c r="Y99" t="s">
        <v>62</v>
      </c>
      <c r="Z99">
        <v>3.9</v>
      </c>
    </row>
    <row r="100" spans="1:26" x14ac:dyDescent="0.3">
      <c r="A100" t="s">
        <v>214</v>
      </c>
      <c r="B100" s="1">
        <v>46114</v>
      </c>
      <c r="C100" s="1">
        <v>46115</v>
      </c>
      <c r="D100" s="1">
        <v>46118</v>
      </c>
      <c r="E100" t="s">
        <v>82</v>
      </c>
      <c r="F100" t="s">
        <v>83</v>
      </c>
      <c r="G100" t="s">
        <v>84</v>
      </c>
      <c r="H100">
        <v>1612</v>
      </c>
      <c r="I100" t="s">
        <v>43</v>
      </c>
      <c r="J100">
        <v>6</v>
      </c>
      <c r="K100">
        <v>14508</v>
      </c>
      <c r="L100">
        <v>5</v>
      </c>
      <c r="M100" t="s">
        <v>78</v>
      </c>
      <c r="N100">
        <v>14</v>
      </c>
      <c r="O100">
        <v>4.8</v>
      </c>
      <c r="P100" t="s">
        <v>53</v>
      </c>
      <c r="Q100" t="s">
        <v>62</v>
      </c>
      <c r="R100" t="s">
        <v>54</v>
      </c>
      <c r="S100">
        <v>3</v>
      </c>
      <c r="T100">
        <v>3</v>
      </c>
      <c r="U100">
        <v>0</v>
      </c>
      <c r="V100" t="s">
        <v>35</v>
      </c>
      <c r="W100" t="s">
        <v>55</v>
      </c>
      <c r="X100" t="s">
        <v>95</v>
      </c>
      <c r="Y100" t="s">
        <v>62</v>
      </c>
      <c r="Z100">
        <v>4</v>
      </c>
    </row>
    <row r="101" spans="1:26" x14ac:dyDescent="0.3">
      <c r="A101" t="s">
        <v>215</v>
      </c>
      <c r="B101" s="1">
        <v>46118</v>
      </c>
      <c r="C101" s="1">
        <v>46120</v>
      </c>
      <c r="D101" s="1">
        <v>46121</v>
      </c>
      <c r="E101" t="s">
        <v>82</v>
      </c>
      <c r="F101" t="s">
        <v>83</v>
      </c>
      <c r="G101" t="s">
        <v>84</v>
      </c>
      <c r="H101">
        <v>263</v>
      </c>
      <c r="I101" t="s">
        <v>60</v>
      </c>
      <c r="J101">
        <v>10</v>
      </c>
      <c r="K101">
        <v>2893</v>
      </c>
      <c r="L101">
        <v>8</v>
      </c>
      <c r="M101" t="s">
        <v>172</v>
      </c>
      <c r="N101">
        <v>3</v>
      </c>
      <c r="O101">
        <v>3.1</v>
      </c>
      <c r="P101" t="s">
        <v>66</v>
      </c>
      <c r="Q101" t="s">
        <v>62</v>
      </c>
      <c r="R101" t="s">
        <v>34</v>
      </c>
      <c r="S101">
        <v>1</v>
      </c>
      <c r="T101">
        <v>1</v>
      </c>
      <c r="U101">
        <v>0</v>
      </c>
      <c r="V101" t="s">
        <v>35</v>
      </c>
      <c r="W101" t="s">
        <v>55</v>
      </c>
      <c r="X101" t="s">
        <v>37</v>
      </c>
      <c r="Y101" t="s">
        <v>33</v>
      </c>
      <c r="Z101">
        <v>3.9</v>
      </c>
    </row>
    <row r="102" spans="1:26" x14ac:dyDescent="0.3">
      <c r="A102" t="s">
        <v>216</v>
      </c>
      <c r="B102" s="1">
        <v>46070</v>
      </c>
      <c r="C102" s="1">
        <v>46071</v>
      </c>
      <c r="D102" s="1">
        <v>46076</v>
      </c>
      <c r="E102" t="s">
        <v>92</v>
      </c>
      <c r="F102" t="s">
        <v>93</v>
      </c>
      <c r="G102" t="s">
        <v>94</v>
      </c>
      <c r="H102">
        <v>1762</v>
      </c>
      <c r="I102" t="s">
        <v>87</v>
      </c>
      <c r="J102">
        <v>10</v>
      </c>
      <c r="K102">
        <v>12334</v>
      </c>
      <c r="L102">
        <v>9</v>
      </c>
      <c r="M102" t="s">
        <v>80</v>
      </c>
      <c r="N102">
        <v>7</v>
      </c>
      <c r="O102">
        <v>3.6</v>
      </c>
      <c r="P102" t="s">
        <v>66</v>
      </c>
      <c r="Q102" t="s">
        <v>38</v>
      </c>
      <c r="R102" t="s">
        <v>67</v>
      </c>
      <c r="S102">
        <v>3</v>
      </c>
      <c r="T102">
        <v>5</v>
      </c>
      <c r="U102">
        <v>2</v>
      </c>
      <c r="V102" t="s">
        <v>46</v>
      </c>
      <c r="W102" t="s">
        <v>36</v>
      </c>
      <c r="X102" t="s">
        <v>95</v>
      </c>
      <c r="Y102" t="s">
        <v>33</v>
      </c>
      <c r="Z102">
        <v>3.8</v>
      </c>
    </row>
    <row r="103" spans="1:26" x14ac:dyDescent="0.3">
      <c r="A103" t="s">
        <v>217</v>
      </c>
      <c r="B103" s="1">
        <v>46094</v>
      </c>
      <c r="C103" s="1">
        <v>46094</v>
      </c>
      <c r="D103" s="1">
        <v>46097</v>
      </c>
      <c r="E103" t="s">
        <v>57</v>
      </c>
      <c r="F103" t="s">
        <v>58</v>
      </c>
      <c r="G103" t="s">
        <v>59</v>
      </c>
      <c r="H103">
        <v>1787</v>
      </c>
      <c r="I103" t="s">
        <v>30</v>
      </c>
      <c r="J103">
        <v>8</v>
      </c>
      <c r="K103">
        <v>12509</v>
      </c>
      <c r="L103">
        <v>9</v>
      </c>
      <c r="M103" t="s">
        <v>99</v>
      </c>
      <c r="N103">
        <v>12</v>
      </c>
      <c r="O103">
        <v>4.8</v>
      </c>
      <c r="P103" t="s">
        <v>53</v>
      </c>
      <c r="Q103" t="s">
        <v>38</v>
      </c>
      <c r="R103" t="s">
        <v>67</v>
      </c>
      <c r="S103">
        <v>3</v>
      </c>
      <c r="T103">
        <v>3</v>
      </c>
      <c r="U103">
        <v>0</v>
      </c>
      <c r="V103" t="s">
        <v>35</v>
      </c>
      <c r="W103" t="s">
        <v>68</v>
      </c>
      <c r="X103" t="s">
        <v>37</v>
      </c>
      <c r="Y103" t="s">
        <v>33</v>
      </c>
      <c r="Z103">
        <v>3.9</v>
      </c>
    </row>
    <row r="104" spans="1:26" x14ac:dyDescent="0.3">
      <c r="A104" t="s">
        <v>218</v>
      </c>
      <c r="B104" s="1">
        <v>46034</v>
      </c>
      <c r="C104" s="1">
        <v>46036</v>
      </c>
      <c r="D104" s="1">
        <v>46043</v>
      </c>
      <c r="E104" t="s">
        <v>49</v>
      </c>
      <c r="F104" t="s">
        <v>50</v>
      </c>
      <c r="G104" t="s">
        <v>51</v>
      </c>
      <c r="H104">
        <v>1567</v>
      </c>
      <c r="I104" t="s">
        <v>30</v>
      </c>
      <c r="J104">
        <v>2</v>
      </c>
      <c r="K104">
        <v>15670</v>
      </c>
      <c r="L104">
        <v>9</v>
      </c>
      <c r="M104" t="s">
        <v>99</v>
      </c>
      <c r="N104">
        <v>15</v>
      </c>
      <c r="O104">
        <v>3.6</v>
      </c>
      <c r="P104" t="s">
        <v>45</v>
      </c>
      <c r="Q104" t="s">
        <v>33</v>
      </c>
      <c r="R104" t="s">
        <v>54</v>
      </c>
      <c r="S104">
        <v>3</v>
      </c>
      <c r="T104">
        <v>7</v>
      </c>
      <c r="U104">
        <v>4</v>
      </c>
      <c r="V104" t="s">
        <v>46</v>
      </c>
      <c r="W104" t="s">
        <v>36</v>
      </c>
      <c r="X104" t="s">
        <v>63</v>
      </c>
      <c r="Y104" t="s">
        <v>38</v>
      </c>
      <c r="Z104">
        <v>4.5999999999999996</v>
      </c>
    </row>
    <row r="105" spans="1:26" x14ac:dyDescent="0.3">
      <c r="A105" t="s">
        <v>219</v>
      </c>
      <c r="B105" s="1">
        <v>46053</v>
      </c>
      <c r="C105" s="1">
        <v>46054</v>
      </c>
      <c r="D105" s="1">
        <v>46058</v>
      </c>
      <c r="E105" t="s">
        <v>27</v>
      </c>
      <c r="F105" t="s">
        <v>28</v>
      </c>
      <c r="G105" t="s">
        <v>29</v>
      </c>
      <c r="H105">
        <v>939</v>
      </c>
      <c r="I105" t="s">
        <v>30</v>
      </c>
      <c r="J105">
        <v>8</v>
      </c>
      <c r="K105">
        <v>11268</v>
      </c>
      <c r="L105">
        <v>9</v>
      </c>
      <c r="M105" t="s">
        <v>147</v>
      </c>
      <c r="N105">
        <v>10</v>
      </c>
      <c r="O105">
        <v>4.8</v>
      </c>
      <c r="P105" t="s">
        <v>32</v>
      </c>
      <c r="Q105" t="s">
        <v>62</v>
      </c>
      <c r="R105" t="s">
        <v>34</v>
      </c>
      <c r="S105">
        <v>2</v>
      </c>
      <c r="T105">
        <v>4</v>
      </c>
      <c r="U105">
        <v>2</v>
      </c>
      <c r="V105" t="s">
        <v>46</v>
      </c>
      <c r="W105" t="s">
        <v>55</v>
      </c>
      <c r="X105" t="s">
        <v>95</v>
      </c>
      <c r="Y105" t="s">
        <v>33</v>
      </c>
      <c r="Z105">
        <v>3.8</v>
      </c>
    </row>
    <row r="106" spans="1:26" x14ac:dyDescent="0.3">
      <c r="A106" t="s">
        <v>220</v>
      </c>
      <c r="B106" s="1">
        <v>46075</v>
      </c>
      <c r="C106" s="1">
        <v>46077</v>
      </c>
      <c r="D106" s="1">
        <v>46078</v>
      </c>
      <c r="E106" t="s">
        <v>72</v>
      </c>
      <c r="F106" t="s">
        <v>73</v>
      </c>
      <c r="G106" t="s">
        <v>74</v>
      </c>
      <c r="H106">
        <v>456</v>
      </c>
      <c r="I106" t="s">
        <v>30</v>
      </c>
      <c r="J106">
        <v>2</v>
      </c>
      <c r="K106">
        <v>4104</v>
      </c>
      <c r="L106">
        <v>8</v>
      </c>
      <c r="M106" t="s">
        <v>123</v>
      </c>
      <c r="N106">
        <v>9</v>
      </c>
      <c r="O106">
        <v>3.7</v>
      </c>
      <c r="P106" t="s">
        <v>45</v>
      </c>
      <c r="Q106" t="s">
        <v>38</v>
      </c>
      <c r="R106" t="s">
        <v>34</v>
      </c>
      <c r="S106">
        <v>1</v>
      </c>
      <c r="T106">
        <v>1</v>
      </c>
      <c r="U106">
        <v>0</v>
      </c>
      <c r="V106" t="s">
        <v>35</v>
      </c>
      <c r="W106" t="s">
        <v>36</v>
      </c>
      <c r="X106" t="s">
        <v>76</v>
      </c>
      <c r="Y106" t="s">
        <v>38</v>
      </c>
      <c r="Z106">
        <v>3.6</v>
      </c>
    </row>
    <row r="107" spans="1:26" x14ac:dyDescent="0.3">
      <c r="A107" t="s">
        <v>221</v>
      </c>
      <c r="B107" s="1">
        <v>46043</v>
      </c>
      <c r="C107" s="1">
        <v>46044</v>
      </c>
      <c r="D107" s="1">
        <v>46051</v>
      </c>
      <c r="E107" t="s">
        <v>40</v>
      </c>
      <c r="F107" t="s">
        <v>41</v>
      </c>
      <c r="G107" t="s">
        <v>42</v>
      </c>
      <c r="H107">
        <v>908</v>
      </c>
      <c r="I107" t="s">
        <v>30</v>
      </c>
      <c r="J107">
        <v>2</v>
      </c>
      <c r="K107">
        <v>7264</v>
      </c>
      <c r="L107">
        <v>6</v>
      </c>
      <c r="M107" t="s">
        <v>222</v>
      </c>
      <c r="N107">
        <v>9</v>
      </c>
      <c r="O107">
        <v>3.5</v>
      </c>
      <c r="P107" t="s">
        <v>66</v>
      </c>
      <c r="Q107" t="s">
        <v>33</v>
      </c>
      <c r="R107" t="s">
        <v>54</v>
      </c>
      <c r="S107">
        <v>2</v>
      </c>
      <c r="T107">
        <v>7</v>
      </c>
      <c r="U107">
        <v>5</v>
      </c>
      <c r="V107" t="s">
        <v>46</v>
      </c>
      <c r="W107" t="s">
        <v>36</v>
      </c>
      <c r="X107" t="s">
        <v>76</v>
      </c>
      <c r="Y107" t="s">
        <v>33</v>
      </c>
      <c r="Z107">
        <v>3.3</v>
      </c>
    </row>
    <row r="108" spans="1:26" x14ac:dyDescent="0.3">
      <c r="A108" t="s">
        <v>223</v>
      </c>
      <c r="B108" s="1">
        <v>46107</v>
      </c>
      <c r="C108" s="1">
        <v>46109</v>
      </c>
      <c r="D108" s="1">
        <v>46114</v>
      </c>
      <c r="E108" t="s">
        <v>49</v>
      </c>
      <c r="F108" t="s">
        <v>50</v>
      </c>
      <c r="G108" t="s">
        <v>51</v>
      </c>
      <c r="H108">
        <v>1354</v>
      </c>
      <c r="I108" t="s">
        <v>87</v>
      </c>
      <c r="J108">
        <v>1</v>
      </c>
      <c r="K108">
        <v>8124</v>
      </c>
      <c r="L108">
        <v>5</v>
      </c>
      <c r="M108" t="s">
        <v>97</v>
      </c>
      <c r="N108">
        <v>13</v>
      </c>
      <c r="O108">
        <v>4.2</v>
      </c>
      <c r="P108" t="s">
        <v>45</v>
      </c>
      <c r="Q108" t="s">
        <v>33</v>
      </c>
      <c r="R108" t="s">
        <v>34</v>
      </c>
      <c r="S108">
        <v>3</v>
      </c>
      <c r="T108">
        <v>5</v>
      </c>
      <c r="U108">
        <v>2</v>
      </c>
      <c r="V108" t="s">
        <v>46</v>
      </c>
      <c r="W108" t="s">
        <v>55</v>
      </c>
      <c r="X108" t="s">
        <v>47</v>
      </c>
      <c r="Y108" t="s">
        <v>62</v>
      </c>
      <c r="Z108">
        <v>3.5</v>
      </c>
    </row>
    <row r="109" spans="1:26" x14ac:dyDescent="0.3">
      <c r="A109" t="s">
        <v>224</v>
      </c>
      <c r="B109" s="1">
        <v>46126</v>
      </c>
      <c r="C109" s="1">
        <v>46128</v>
      </c>
      <c r="D109" s="1">
        <v>46130</v>
      </c>
      <c r="E109" t="s">
        <v>111</v>
      </c>
      <c r="F109" t="s">
        <v>27</v>
      </c>
      <c r="G109" t="s">
        <v>112</v>
      </c>
      <c r="H109">
        <v>809</v>
      </c>
      <c r="I109" t="s">
        <v>43</v>
      </c>
      <c r="J109">
        <v>2</v>
      </c>
      <c r="K109">
        <v>8899</v>
      </c>
      <c r="L109">
        <v>5</v>
      </c>
      <c r="M109" t="s">
        <v>101</v>
      </c>
      <c r="N109">
        <v>8</v>
      </c>
      <c r="O109">
        <v>3.8</v>
      </c>
      <c r="P109" t="s">
        <v>53</v>
      </c>
      <c r="Q109" t="s">
        <v>38</v>
      </c>
      <c r="R109" t="s">
        <v>34</v>
      </c>
      <c r="S109">
        <v>1</v>
      </c>
      <c r="T109">
        <v>2</v>
      </c>
      <c r="U109">
        <v>1</v>
      </c>
      <c r="V109" t="s">
        <v>46</v>
      </c>
      <c r="W109" t="s">
        <v>68</v>
      </c>
      <c r="X109" t="s">
        <v>47</v>
      </c>
      <c r="Y109" t="s">
        <v>33</v>
      </c>
      <c r="Z109">
        <v>5</v>
      </c>
    </row>
    <row r="110" spans="1:26" x14ac:dyDescent="0.3">
      <c r="A110" t="s">
        <v>225</v>
      </c>
      <c r="B110" s="1">
        <v>46067</v>
      </c>
      <c r="C110" s="1">
        <v>46068</v>
      </c>
      <c r="D110" s="1">
        <v>46071</v>
      </c>
      <c r="E110" t="s">
        <v>82</v>
      </c>
      <c r="F110" t="s">
        <v>83</v>
      </c>
      <c r="G110" t="s">
        <v>84</v>
      </c>
      <c r="H110">
        <v>1757</v>
      </c>
      <c r="I110" t="s">
        <v>30</v>
      </c>
      <c r="J110">
        <v>9</v>
      </c>
      <c r="K110">
        <v>17570</v>
      </c>
      <c r="L110">
        <v>5</v>
      </c>
      <c r="M110" t="s">
        <v>226</v>
      </c>
      <c r="N110">
        <v>4</v>
      </c>
      <c r="O110">
        <v>3.9</v>
      </c>
      <c r="P110" t="s">
        <v>66</v>
      </c>
      <c r="Q110" t="s">
        <v>62</v>
      </c>
      <c r="R110" t="s">
        <v>67</v>
      </c>
      <c r="S110">
        <v>3</v>
      </c>
      <c r="T110">
        <v>3</v>
      </c>
      <c r="U110">
        <v>0</v>
      </c>
      <c r="V110" t="s">
        <v>35</v>
      </c>
      <c r="W110" t="s">
        <v>36</v>
      </c>
      <c r="X110" t="s">
        <v>47</v>
      </c>
      <c r="Y110" t="s">
        <v>62</v>
      </c>
      <c r="Z110">
        <v>4.7</v>
      </c>
    </row>
    <row r="111" spans="1:26" x14ac:dyDescent="0.3">
      <c r="A111" t="s">
        <v>227</v>
      </c>
      <c r="B111" s="1">
        <v>46076</v>
      </c>
      <c r="C111" s="1">
        <v>46076</v>
      </c>
      <c r="D111" s="1">
        <v>46078</v>
      </c>
      <c r="E111" t="s">
        <v>82</v>
      </c>
      <c r="F111" t="s">
        <v>83</v>
      </c>
      <c r="G111" t="s">
        <v>84</v>
      </c>
      <c r="H111">
        <v>870</v>
      </c>
      <c r="I111" t="s">
        <v>30</v>
      </c>
      <c r="J111">
        <v>4</v>
      </c>
      <c r="K111">
        <v>10440</v>
      </c>
      <c r="L111">
        <v>6</v>
      </c>
      <c r="M111" t="s">
        <v>153</v>
      </c>
      <c r="N111">
        <v>9</v>
      </c>
      <c r="O111">
        <v>3.9</v>
      </c>
      <c r="P111" t="s">
        <v>66</v>
      </c>
      <c r="Q111" t="s">
        <v>62</v>
      </c>
      <c r="R111" t="s">
        <v>67</v>
      </c>
      <c r="S111">
        <v>1</v>
      </c>
      <c r="T111">
        <v>2</v>
      </c>
      <c r="U111">
        <v>1</v>
      </c>
      <c r="V111" t="s">
        <v>46</v>
      </c>
      <c r="W111" t="s">
        <v>55</v>
      </c>
      <c r="X111" t="s">
        <v>95</v>
      </c>
      <c r="Y111" t="s">
        <v>38</v>
      </c>
      <c r="Z111">
        <v>3.4</v>
      </c>
    </row>
    <row r="112" spans="1:26" x14ac:dyDescent="0.3">
      <c r="A112" t="s">
        <v>228</v>
      </c>
      <c r="B112" s="1">
        <v>46068</v>
      </c>
      <c r="C112" s="1">
        <v>46068</v>
      </c>
      <c r="D112" s="1">
        <v>46069</v>
      </c>
      <c r="E112" t="s">
        <v>27</v>
      </c>
      <c r="F112" t="s">
        <v>28</v>
      </c>
      <c r="G112" t="s">
        <v>29</v>
      </c>
      <c r="H112">
        <v>776</v>
      </c>
      <c r="I112" t="s">
        <v>43</v>
      </c>
      <c r="J112">
        <v>10</v>
      </c>
      <c r="K112">
        <v>9312</v>
      </c>
      <c r="L112">
        <v>10</v>
      </c>
      <c r="M112" t="s">
        <v>123</v>
      </c>
      <c r="N112">
        <v>8</v>
      </c>
      <c r="O112">
        <v>3.6</v>
      </c>
      <c r="P112" t="s">
        <v>32</v>
      </c>
      <c r="Q112" t="s">
        <v>38</v>
      </c>
      <c r="R112" t="s">
        <v>34</v>
      </c>
      <c r="S112">
        <v>1</v>
      </c>
      <c r="T112">
        <v>1</v>
      </c>
      <c r="U112">
        <v>0</v>
      </c>
      <c r="V112" t="s">
        <v>35</v>
      </c>
      <c r="W112" t="s">
        <v>68</v>
      </c>
      <c r="X112" t="s">
        <v>47</v>
      </c>
      <c r="Y112" t="s">
        <v>62</v>
      </c>
      <c r="Z112">
        <v>3.7</v>
      </c>
    </row>
    <row r="113" spans="1:26" x14ac:dyDescent="0.3">
      <c r="A113" t="s">
        <v>229</v>
      </c>
      <c r="B113" s="1">
        <v>46074</v>
      </c>
      <c r="C113" s="1">
        <v>46074</v>
      </c>
      <c r="D113" s="1">
        <v>46077</v>
      </c>
      <c r="E113" t="s">
        <v>40</v>
      </c>
      <c r="F113" t="s">
        <v>41</v>
      </c>
      <c r="G113" t="s">
        <v>42</v>
      </c>
      <c r="H113">
        <v>942</v>
      </c>
      <c r="I113" t="s">
        <v>30</v>
      </c>
      <c r="J113">
        <v>2</v>
      </c>
      <c r="K113">
        <v>8478</v>
      </c>
      <c r="L113">
        <v>9</v>
      </c>
      <c r="M113" t="s">
        <v>128</v>
      </c>
      <c r="N113">
        <v>13</v>
      </c>
      <c r="O113">
        <v>4.0999999999999996</v>
      </c>
      <c r="P113" t="s">
        <v>32</v>
      </c>
      <c r="Q113" t="s">
        <v>38</v>
      </c>
      <c r="R113" t="s">
        <v>67</v>
      </c>
      <c r="S113">
        <v>2</v>
      </c>
      <c r="T113">
        <v>3</v>
      </c>
      <c r="U113">
        <v>1</v>
      </c>
      <c r="V113" t="s">
        <v>46</v>
      </c>
      <c r="W113" t="s">
        <v>68</v>
      </c>
      <c r="X113" t="s">
        <v>47</v>
      </c>
      <c r="Y113" t="s">
        <v>33</v>
      </c>
      <c r="Z113">
        <v>4.9000000000000004</v>
      </c>
    </row>
    <row r="114" spans="1:26" x14ac:dyDescent="0.3">
      <c r="A114" t="s">
        <v>230</v>
      </c>
      <c r="B114" s="1">
        <v>46119</v>
      </c>
      <c r="C114" s="1">
        <v>46119</v>
      </c>
      <c r="D114" s="1">
        <v>46126</v>
      </c>
      <c r="E114" t="s">
        <v>40</v>
      </c>
      <c r="F114" t="s">
        <v>41</v>
      </c>
      <c r="G114" t="s">
        <v>42</v>
      </c>
      <c r="H114">
        <v>1433</v>
      </c>
      <c r="I114" t="s">
        <v>43</v>
      </c>
      <c r="J114">
        <v>9</v>
      </c>
      <c r="K114">
        <v>8598</v>
      </c>
      <c r="L114">
        <v>5</v>
      </c>
      <c r="M114" t="s">
        <v>172</v>
      </c>
      <c r="N114">
        <v>3</v>
      </c>
      <c r="O114">
        <v>4.4000000000000004</v>
      </c>
      <c r="P114" t="s">
        <v>53</v>
      </c>
      <c r="Q114" t="s">
        <v>33</v>
      </c>
      <c r="R114" t="s">
        <v>34</v>
      </c>
      <c r="S114">
        <v>3</v>
      </c>
      <c r="T114">
        <v>7</v>
      </c>
      <c r="U114">
        <v>4</v>
      </c>
      <c r="V114" t="s">
        <v>46</v>
      </c>
      <c r="W114" t="s">
        <v>36</v>
      </c>
      <c r="X114" t="s">
        <v>47</v>
      </c>
      <c r="Y114" t="s">
        <v>33</v>
      </c>
      <c r="Z114">
        <v>3.6</v>
      </c>
    </row>
    <row r="115" spans="1:26" x14ac:dyDescent="0.3">
      <c r="A115" t="s">
        <v>231</v>
      </c>
      <c r="B115" s="1">
        <v>46073</v>
      </c>
      <c r="C115" s="1">
        <v>46075</v>
      </c>
      <c r="D115" s="1">
        <v>46080</v>
      </c>
      <c r="E115" t="s">
        <v>57</v>
      </c>
      <c r="F115" t="s">
        <v>58</v>
      </c>
      <c r="G115" t="s">
        <v>59</v>
      </c>
      <c r="H115">
        <v>1415</v>
      </c>
      <c r="I115" t="s">
        <v>30</v>
      </c>
      <c r="J115">
        <v>9</v>
      </c>
      <c r="K115">
        <v>16980</v>
      </c>
      <c r="L115">
        <v>9</v>
      </c>
      <c r="M115" t="s">
        <v>52</v>
      </c>
      <c r="N115">
        <v>8</v>
      </c>
      <c r="O115">
        <v>4.4000000000000004</v>
      </c>
      <c r="P115" t="s">
        <v>66</v>
      </c>
      <c r="Q115" t="s">
        <v>62</v>
      </c>
      <c r="R115" t="s">
        <v>67</v>
      </c>
      <c r="S115">
        <v>3</v>
      </c>
      <c r="T115">
        <v>5</v>
      </c>
      <c r="U115">
        <v>2</v>
      </c>
      <c r="V115" t="s">
        <v>46</v>
      </c>
      <c r="W115" t="s">
        <v>55</v>
      </c>
      <c r="X115" t="s">
        <v>63</v>
      </c>
      <c r="Y115" t="s">
        <v>62</v>
      </c>
      <c r="Z115">
        <v>4.2</v>
      </c>
    </row>
    <row r="116" spans="1:26" x14ac:dyDescent="0.3">
      <c r="A116" t="s">
        <v>232</v>
      </c>
      <c r="B116" s="1">
        <v>46124</v>
      </c>
      <c r="C116" s="1">
        <v>46126</v>
      </c>
      <c r="D116" s="1">
        <v>46133</v>
      </c>
      <c r="E116" t="s">
        <v>27</v>
      </c>
      <c r="F116" t="s">
        <v>28</v>
      </c>
      <c r="G116" t="s">
        <v>29</v>
      </c>
      <c r="H116">
        <v>1422</v>
      </c>
      <c r="I116" t="s">
        <v>43</v>
      </c>
      <c r="J116">
        <v>5</v>
      </c>
      <c r="K116">
        <v>15642</v>
      </c>
      <c r="L116">
        <v>9</v>
      </c>
      <c r="M116" t="s">
        <v>105</v>
      </c>
      <c r="N116">
        <v>4</v>
      </c>
      <c r="O116">
        <v>4.4000000000000004</v>
      </c>
      <c r="P116" t="s">
        <v>53</v>
      </c>
      <c r="Q116" t="s">
        <v>38</v>
      </c>
      <c r="R116" t="s">
        <v>54</v>
      </c>
      <c r="S116">
        <v>3</v>
      </c>
      <c r="T116">
        <v>7</v>
      </c>
      <c r="U116">
        <v>4</v>
      </c>
      <c r="V116" t="s">
        <v>46</v>
      </c>
      <c r="W116" t="s">
        <v>68</v>
      </c>
      <c r="X116" t="s">
        <v>37</v>
      </c>
      <c r="Y116" t="s">
        <v>33</v>
      </c>
      <c r="Z116">
        <v>3.5</v>
      </c>
    </row>
    <row r="117" spans="1:26" x14ac:dyDescent="0.3">
      <c r="A117" t="s">
        <v>233</v>
      </c>
      <c r="B117" s="1">
        <v>46096</v>
      </c>
      <c r="C117" s="1">
        <v>46098</v>
      </c>
      <c r="D117" s="1">
        <v>46099</v>
      </c>
      <c r="E117" t="s">
        <v>72</v>
      </c>
      <c r="F117" t="s">
        <v>73</v>
      </c>
      <c r="G117" t="s">
        <v>74</v>
      </c>
      <c r="H117">
        <v>590</v>
      </c>
      <c r="I117" t="s">
        <v>87</v>
      </c>
      <c r="J117">
        <v>8</v>
      </c>
      <c r="K117">
        <v>4720</v>
      </c>
      <c r="L117">
        <v>8</v>
      </c>
      <c r="M117" t="s">
        <v>70</v>
      </c>
      <c r="N117">
        <v>7</v>
      </c>
      <c r="O117">
        <v>4.4000000000000004</v>
      </c>
      <c r="P117" t="s">
        <v>53</v>
      </c>
      <c r="Q117" t="s">
        <v>33</v>
      </c>
      <c r="R117" t="s">
        <v>54</v>
      </c>
      <c r="S117">
        <v>1</v>
      </c>
      <c r="T117">
        <v>1</v>
      </c>
      <c r="U117">
        <v>0</v>
      </c>
      <c r="V117" t="s">
        <v>35</v>
      </c>
      <c r="W117" t="s">
        <v>55</v>
      </c>
      <c r="X117" t="s">
        <v>37</v>
      </c>
      <c r="Y117" t="s">
        <v>33</v>
      </c>
      <c r="Z117">
        <v>3.4</v>
      </c>
    </row>
    <row r="118" spans="1:26" x14ac:dyDescent="0.3">
      <c r="A118" t="s">
        <v>234</v>
      </c>
      <c r="B118" s="1">
        <v>46064</v>
      </c>
      <c r="C118" s="1">
        <v>46066</v>
      </c>
      <c r="D118" s="1">
        <v>46069</v>
      </c>
      <c r="E118" t="s">
        <v>92</v>
      </c>
      <c r="F118" t="s">
        <v>93</v>
      </c>
      <c r="G118" t="s">
        <v>94</v>
      </c>
      <c r="H118">
        <v>1276</v>
      </c>
      <c r="I118" t="s">
        <v>43</v>
      </c>
      <c r="J118">
        <v>6</v>
      </c>
      <c r="K118">
        <v>8932</v>
      </c>
      <c r="L118">
        <v>8</v>
      </c>
      <c r="M118" t="s">
        <v>52</v>
      </c>
      <c r="N118">
        <v>6</v>
      </c>
      <c r="O118">
        <v>4.0999999999999996</v>
      </c>
      <c r="P118" t="s">
        <v>66</v>
      </c>
      <c r="Q118" t="s">
        <v>33</v>
      </c>
      <c r="R118" t="s">
        <v>34</v>
      </c>
      <c r="S118">
        <v>2</v>
      </c>
      <c r="T118">
        <v>3</v>
      </c>
      <c r="U118">
        <v>1</v>
      </c>
      <c r="V118" t="s">
        <v>46</v>
      </c>
      <c r="W118" t="s">
        <v>55</v>
      </c>
      <c r="X118" t="s">
        <v>47</v>
      </c>
      <c r="Y118" t="s">
        <v>38</v>
      </c>
      <c r="Z118">
        <v>4.9000000000000004</v>
      </c>
    </row>
    <row r="119" spans="1:26" x14ac:dyDescent="0.3">
      <c r="A119" t="s">
        <v>235</v>
      </c>
      <c r="B119" s="1">
        <v>46061</v>
      </c>
      <c r="C119" s="1">
        <v>46062</v>
      </c>
      <c r="D119" s="1">
        <v>46068</v>
      </c>
      <c r="E119" t="s">
        <v>40</v>
      </c>
      <c r="F119" t="s">
        <v>41</v>
      </c>
      <c r="G119" t="s">
        <v>42</v>
      </c>
      <c r="H119">
        <v>1613</v>
      </c>
      <c r="I119" t="s">
        <v>43</v>
      </c>
      <c r="J119">
        <v>6</v>
      </c>
      <c r="K119">
        <v>14517</v>
      </c>
      <c r="L119">
        <v>7</v>
      </c>
      <c r="M119" t="s">
        <v>88</v>
      </c>
      <c r="N119">
        <v>15</v>
      </c>
      <c r="O119">
        <v>4.9000000000000004</v>
      </c>
      <c r="P119" t="s">
        <v>66</v>
      </c>
      <c r="Q119" t="s">
        <v>62</v>
      </c>
      <c r="R119" t="s">
        <v>67</v>
      </c>
      <c r="S119">
        <v>3</v>
      </c>
      <c r="T119">
        <v>6</v>
      </c>
      <c r="U119">
        <v>3</v>
      </c>
      <c r="V119" t="s">
        <v>46</v>
      </c>
      <c r="W119" t="s">
        <v>68</v>
      </c>
      <c r="X119" t="s">
        <v>47</v>
      </c>
      <c r="Y119" t="s">
        <v>38</v>
      </c>
      <c r="Z119">
        <v>3.6</v>
      </c>
    </row>
    <row r="120" spans="1:26" x14ac:dyDescent="0.3">
      <c r="A120" t="s">
        <v>236</v>
      </c>
      <c r="B120" s="1">
        <v>46059</v>
      </c>
      <c r="C120" s="1">
        <v>46061</v>
      </c>
      <c r="D120" s="1">
        <v>46063</v>
      </c>
      <c r="E120" t="s">
        <v>72</v>
      </c>
      <c r="F120" t="s">
        <v>73</v>
      </c>
      <c r="G120" t="s">
        <v>74</v>
      </c>
      <c r="H120">
        <v>909</v>
      </c>
      <c r="I120" t="s">
        <v>43</v>
      </c>
      <c r="J120">
        <v>5</v>
      </c>
      <c r="K120">
        <v>9999</v>
      </c>
      <c r="L120">
        <v>8</v>
      </c>
      <c r="M120" t="s">
        <v>90</v>
      </c>
      <c r="N120">
        <v>4</v>
      </c>
      <c r="O120">
        <v>4.7</v>
      </c>
      <c r="P120" t="s">
        <v>66</v>
      </c>
      <c r="Q120" t="s">
        <v>33</v>
      </c>
      <c r="R120" t="s">
        <v>54</v>
      </c>
      <c r="S120">
        <v>2</v>
      </c>
      <c r="T120">
        <v>2</v>
      </c>
      <c r="U120">
        <v>0</v>
      </c>
      <c r="V120" t="s">
        <v>35</v>
      </c>
      <c r="W120" t="s">
        <v>55</v>
      </c>
      <c r="X120" t="s">
        <v>76</v>
      </c>
      <c r="Y120" t="s">
        <v>38</v>
      </c>
      <c r="Z120">
        <v>3.5</v>
      </c>
    </row>
    <row r="121" spans="1:26" x14ac:dyDescent="0.3">
      <c r="A121" t="s">
        <v>237</v>
      </c>
      <c r="B121" s="1">
        <v>46108</v>
      </c>
      <c r="C121" s="1">
        <v>46110</v>
      </c>
      <c r="D121" s="1">
        <v>46114</v>
      </c>
      <c r="E121" t="s">
        <v>40</v>
      </c>
      <c r="F121" t="s">
        <v>41</v>
      </c>
      <c r="G121" t="s">
        <v>42</v>
      </c>
      <c r="H121">
        <v>1506</v>
      </c>
      <c r="I121" t="s">
        <v>60</v>
      </c>
      <c r="J121">
        <v>1</v>
      </c>
      <c r="K121">
        <v>9036</v>
      </c>
      <c r="L121">
        <v>8</v>
      </c>
      <c r="M121" t="s">
        <v>143</v>
      </c>
      <c r="N121">
        <v>12</v>
      </c>
      <c r="O121">
        <v>3.9</v>
      </c>
      <c r="P121" t="s">
        <v>45</v>
      </c>
      <c r="Q121" t="s">
        <v>38</v>
      </c>
      <c r="R121" t="s">
        <v>54</v>
      </c>
      <c r="S121">
        <v>3</v>
      </c>
      <c r="T121">
        <v>4</v>
      </c>
      <c r="U121">
        <v>1</v>
      </c>
      <c r="V121" t="s">
        <v>46</v>
      </c>
      <c r="W121" t="s">
        <v>55</v>
      </c>
      <c r="X121" t="s">
        <v>95</v>
      </c>
      <c r="Y121" t="s">
        <v>62</v>
      </c>
      <c r="Z121">
        <v>4.3</v>
      </c>
    </row>
    <row r="122" spans="1:26" x14ac:dyDescent="0.3">
      <c r="A122" t="s">
        <v>238</v>
      </c>
      <c r="B122" s="1">
        <v>46119</v>
      </c>
      <c r="C122" s="1">
        <v>46120</v>
      </c>
      <c r="D122" s="1">
        <v>46121</v>
      </c>
      <c r="E122" t="s">
        <v>49</v>
      </c>
      <c r="F122" t="s">
        <v>50</v>
      </c>
      <c r="G122" t="s">
        <v>51</v>
      </c>
      <c r="H122">
        <v>784</v>
      </c>
      <c r="I122" t="s">
        <v>87</v>
      </c>
      <c r="J122">
        <v>2</v>
      </c>
      <c r="K122">
        <v>8624</v>
      </c>
      <c r="L122">
        <v>9</v>
      </c>
      <c r="M122" t="s">
        <v>239</v>
      </c>
      <c r="N122">
        <v>9</v>
      </c>
      <c r="O122">
        <v>4.5</v>
      </c>
      <c r="P122" t="s">
        <v>32</v>
      </c>
      <c r="Q122" t="s">
        <v>38</v>
      </c>
      <c r="R122" t="s">
        <v>34</v>
      </c>
      <c r="S122">
        <v>1</v>
      </c>
      <c r="T122">
        <v>1</v>
      </c>
      <c r="U122">
        <v>0</v>
      </c>
      <c r="V122" t="s">
        <v>35</v>
      </c>
      <c r="W122" t="s">
        <v>36</v>
      </c>
      <c r="X122" t="s">
        <v>95</v>
      </c>
      <c r="Y122" t="s">
        <v>62</v>
      </c>
      <c r="Z122">
        <v>3.4</v>
      </c>
    </row>
    <row r="123" spans="1:26" x14ac:dyDescent="0.3">
      <c r="A123" t="s">
        <v>240</v>
      </c>
      <c r="B123" s="1">
        <v>46118</v>
      </c>
      <c r="C123" s="1">
        <v>46119</v>
      </c>
      <c r="D123" s="1">
        <v>46122</v>
      </c>
      <c r="E123" t="s">
        <v>27</v>
      </c>
      <c r="F123" t="s">
        <v>28</v>
      </c>
      <c r="G123" t="s">
        <v>29</v>
      </c>
      <c r="H123">
        <v>218</v>
      </c>
      <c r="I123" t="s">
        <v>30</v>
      </c>
      <c r="J123">
        <v>10</v>
      </c>
      <c r="K123">
        <v>2180</v>
      </c>
      <c r="L123">
        <v>5</v>
      </c>
      <c r="M123" t="s">
        <v>143</v>
      </c>
      <c r="N123">
        <v>5</v>
      </c>
      <c r="O123">
        <v>3.9</v>
      </c>
      <c r="P123" t="s">
        <v>53</v>
      </c>
      <c r="Q123" t="s">
        <v>38</v>
      </c>
      <c r="R123" t="s">
        <v>54</v>
      </c>
      <c r="S123">
        <v>1</v>
      </c>
      <c r="T123">
        <v>3</v>
      </c>
      <c r="U123">
        <v>2</v>
      </c>
      <c r="V123" t="s">
        <v>46</v>
      </c>
      <c r="W123" t="s">
        <v>36</v>
      </c>
      <c r="X123" t="s">
        <v>63</v>
      </c>
      <c r="Y123" t="s">
        <v>62</v>
      </c>
      <c r="Z123">
        <v>3.3</v>
      </c>
    </row>
    <row r="124" spans="1:26" x14ac:dyDescent="0.3">
      <c r="A124" t="s">
        <v>241</v>
      </c>
      <c r="B124" s="1">
        <v>46081</v>
      </c>
      <c r="C124" s="1">
        <v>46083</v>
      </c>
      <c r="D124" s="1">
        <v>46089</v>
      </c>
      <c r="E124" t="s">
        <v>57</v>
      </c>
      <c r="F124" t="s">
        <v>58</v>
      </c>
      <c r="G124" t="s">
        <v>59</v>
      </c>
      <c r="H124">
        <v>1671</v>
      </c>
      <c r="I124" t="s">
        <v>60</v>
      </c>
      <c r="J124">
        <v>1</v>
      </c>
      <c r="K124">
        <v>18381</v>
      </c>
      <c r="L124">
        <v>7</v>
      </c>
      <c r="M124" t="s">
        <v>99</v>
      </c>
      <c r="N124">
        <v>10</v>
      </c>
      <c r="O124">
        <v>4.3</v>
      </c>
      <c r="P124" t="s">
        <v>45</v>
      </c>
      <c r="Q124" t="s">
        <v>38</v>
      </c>
      <c r="R124" t="s">
        <v>54</v>
      </c>
      <c r="S124">
        <v>3</v>
      </c>
      <c r="T124">
        <v>6</v>
      </c>
      <c r="U124">
        <v>3</v>
      </c>
      <c r="V124" t="s">
        <v>46</v>
      </c>
      <c r="W124" t="s">
        <v>68</v>
      </c>
      <c r="X124" t="s">
        <v>76</v>
      </c>
      <c r="Y124" t="s">
        <v>62</v>
      </c>
      <c r="Z124">
        <v>3.2</v>
      </c>
    </row>
    <row r="125" spans="1:26" x14ac:dyDescent="0.3">
      <c r="A125" t="s">
        <v>242</v>
      </c>
      <c r="B125" s="1">
        <v>46108</v>
      </c>
      <c r="C125" s="1">
        <v>46108</v>
      </c>
      <c r="D125" s="1">
        <v>46109</v>
      </c>
      <c r="E125" t="s">
        <v>82</v>
      </c>
      <c r="F125" t="s">
        <v>83</v>
      </c>
      <c r="G125" t="s">
        <v>84</v>
      </c>
      <c r="H125">
        <v>487</v>
      </c>
      <c r="I125" t="s">
        <v>43</v>
      </c>
      <c r="J125">
        <v>6</v>
      </c>
      <c r="K125">
        <v>3409</v>
      </c>
      <c r="L125">
        <v>5</v>
      </c>
      <c r="M125" t="s">
        <v>243</v>
      </c>
      <c r="N125">
        <v>7</v>
      </c>
      <c r="O125">
        <v>3.5</v>
      </c>
      <c r="P125" t="s">
        <v>66</v>
      </c>
      <c r="Q125" t="s">
        <v>62</v>
      </c>
      <c r="R125" t="s">
        <v>34</v>
      </c>
      <c r="S125">
        <v>1</v>
      </c>
      <c r="T125">
        <v>1</v>
      </c>
      <c r="U125">
        <v>0</v>
      </c>
      <c r="V125" t="s">
        <v>35</v>
      </c>
      <c r="W125" t="s">
        <v>68</v>
      </c>
      <c r="X125" t="s">
        <v>47</v>
      </c>
      <c r="Y125" t="s">
        <v>33</v>
      </c>
      <c r="Z125">
        <v>3.5</v>
      </c>
    </row>
    <row r="126" spans="1:26" x14ac:dyDescent="0.3">
      <c r="A126" t="s">
        <v>244</v>
      </c>
      <c r="B126" s="1">
        <v>46108</v>
      </c>
      <c r="C126" s="1">
        <v>46108</v>
      </c>
      <c r="D126" s="1">
        <v>46110</v>
      </c>
      <c r="E126" t="s">
        <v>92</v>
      </c>
      <c r="F126" t="s">
        <v>93</v>
      </c>
      <c r="G126" t="s">
        <v>94</v>
      </c>
      <c r="H126">
        <v>828</v>
      </c>
      <c r="I126" t="s">
        <v>60</v>
      </c>
      <c r="J126">
        <v>7</v>
      </c>
      <c r="K126">
        <v>9108</v>
      </c>
      <c r="L126">
        <v>9</v>
      </c>
      <c r="M126" t="s">
        <v>245</v>
      </c>
      <c r="N126">
        <v>13</v>
      </c>
      <c r="O126">
        <v>3.6</v>
      </c>
      <c r="P126" t="s">
        <v>32</v>
      </c>
      <c r="Q126" t="s">
        <v>33</v>
      </c>
      <c r="R126" t="s">
        <v>34</v>
      </c>
      <c r="S126">
        <v>1</v>
      </c>
      <c r="T126">
        <v>2</v>
      </c>
      <c r="U126">
        <v>1</v>
      </c>
      <c r="V126" t="s">
        <v>46</v>
      </c>
      <c r="W126" t="s">
        <v>36</v>
      </c>
      <c r="X126" t="s">
        <v>37</v>
      </c>
      <c r="Y126" t="s">
        <v>62</v>
      </c>
      <c r="Z126">
        <v>3.3</v>
      </c>
    </row>
    <row r="127" spans="1:26" x14ac:dyDescent="0.3">
      <c r="A127" t="s">
        <v>246</v>
      </c>
      <c r="B127" s="1">
        <v>46118</v>
      </c>
      <c r="C127" s="1">
        <v>46120</v>
      </c>
      <c r="D127" s="1">
        <v>46122</v>
      </c>
      <c r="E127" t="s">
        <v>49</v>
      </c>
      <c r="F127" t="s">
        <v>50</v>
      </c>
      <c r="G127" t="s">
        <v>51</v>
      </c>
      <c r="H127">
        <v>1051</v>
      </c>
      <c r="I127" t="s">
        <v>43</v>
      </c>
      <c r="J127">
        <v>9</v>
      </c>
      <c r="K127">
        <v>12612</v>
      </c>
      <c r="L127">
        <v>10</v>
      </c>
      <c r="M127" t="s">
        <v>90</v>
      </c>
      <c r="N127">
        <v>13</v>
      </c>
      <c r="O127">
        <v>3.5</v>
      </c>
      <c r="P127" t="s">
        <v>32</v>
      </c>
      <c r="Q127" t="s">
        <v>33</v>
      </c>
      <c r="R127" t="s">
        <v>34</v>
      </c>
      <c r="S127">
        <v>2</v>
      </c>
      <c r="T127">
        <v>2</v>
      </c>
      <c r="U127">
        <v>0</v>
      </c>
      <c r="V127" t="s">
        <v>35</v>
      </c>
      <c r="W127" t="s">
        <v>55</v>
      </c>
      <c r="X127" t="s">
        <v>63</v>
      </c>
      <c r="Y127" t="s">
        <v>38</v>
      </c>
      <c r="Z127">
        <v>4.7</v>
      </c>
    </row>
    <row r="128" spans="1:26" x14ac:dyDescent="0.3">
      <c r="A128" t="s">
        <v>247</v>
      </c>
      <c r="B128" s="1">
        <v>46138</v>
      </c>
      <c r="C128" s="1">
        <v>46140</v>
      </c>
      <c r="D128" s="1">
        <v>46143</v>
      </c>
      <c r="E128" t="s">
        <v>40</v>
      </c>
      <c r="F128" t="s">
        <v>41</v>
      </c>
      <c r="G128" t="s">
        <v>42</v>
      </c>
      <c r="H128">
        <v>1372</v>
      </c>
      <c r="I128" t="s">
        <v>60</v>
      </c>
      <c r="J128">
        <v>3</v>
      </c>
      <c r="K128">
        <v>10976</v>
      </c>
      <c r="L128">
        <v>9</v>
      </c>
      <c r="M128" t="s">
        <v>128</v>
      </c>
      <c r="N128">
        <v>2</v>
      </c>
      <c r="O128">
        <v>4.4000000000000004</v>
      </c>
      <c r="P128" t="s">
        <v>53</v>
      </c>
      <c r="Q128" t="s">
        <v>38</v>
      </c>
      <c r="R128" t="s">
        <v>54</v>
      </c>
      <c r="S128">
        <v>3</v>
      </c>
      <c r="T128">
        <v>3</v>
      </c>
      <c r="U128">
        <v>0</v>
      </c>
      <c r="V128" t="s">
        <v>35</v>
      </c>
      <c r="W128" t="s">
        <v>68</v>
      </c>
      <c r="X128" t="s">
        <v>37</v>
      </c>
      <c r="Y128" t="s">
        <v>33</v>
      </c>
      <c r="Z128">
        <v>3.8</v>
      </c>
    </row>
    <row r="129" spans="1:26" x14ac:dyDescent="0.3">
      <c r="A129" t="s">
        <v>248</v>
      </c>
      <c r="B129" s="1">
        <v>46095</v>
      </c>
      <c r="C129" s="1">
        <v>46095</v>
      </c>
      <c r="D129" s="1">
        <v>46099</v>
      </c>
      <c r="E129" t="s">
        <v>92</v>
      </c>
      <c r="F129" t="s">
        <v>93</v>
      </c>
      <c r="G129" t="s">
        <v>94</v>
      </c>
      <c r="H129">
        <v>1577</v>
      </c>
      <c r="I129" t="s">
        <v>30</v>
      </c>
      <c r="J129">
        <v>1</v>
      </c>
      <c r="K129">
        <v>14193</v>
      </c>
      <c r="L129">
        <v>7</v>
      </c>
      <c r="M129" t="s">
        <v>158</v>
      </c>
      <c r="N129">
        <v>12</v>
      </c>
      <c r="O129">
        <v>3.4</v>
      </c>
      <c r="P129" t="s">
        <v>32</v>
      </c>
      <c r="Q129" t="s">
        <v>38</v>
      </c>
      <c r="R129" t="s">
        <v>34</v>
      </c>
      <c r="S129">
        <v>3</v>
      </c>
      <c r="T129">
        <v>4</v>
      </c>
      <c r="U129">
        <v>1</v>
      </c>
      <c r="V129" t="s">
        <v>46</v>
      </c>
      <c r="W129" t="s">
        <v>55</v>
      </c>
      <c r="X129" t="s">
        <v>63</v>
      </c>
      <c r="Y129" t="s">
        <v>33</v>
      </c>
      <c r="Z129">
        <v>5</v>
      </c>
    </row>
    <row r="130" spans="1:26" x14ac:dyDescent="0.3">
      <c r="A130" t="s">
        <v>249</v>
      </c>
      <c r="B130" s="1">
        <v>46142</v>
      </c>
      <c r="C130" s="1">
        <v>46142</v>
      </c>
      <c r="D130" s="1">
        <v>46144</v>
      </c>
      <c r="E130" t="s">
        <v>92</v>
      </c>
      <c r="F130" t="s">
        <v>93</v>
      </c>
      <c r="G130" t="s">
        <v>94</v>
      </c>
      <c r="H130">
        <v>264</v>
      </c>
      <c r="I130" t="s">
        <v>30</v>
      </c>
      <c r="J130">
        <v>7</v>
      </c>
      <c r="K130">
        <v>1848</v>
      </c>
      <c r="L130">
        <v>6</v>
      </c>
      <c r="M130" t="s">
        <v>170</v>
      </c>
      <c r="N130">
        <v>11</v>
      </c>
      <c r="O130">
        <v>5</v>
      </c>
      <c r="P130" t="s">
        <v>53</v>
      </c>
      <c r="Q130" t="s">
        <v>62</v>
      </c>
      <c r="R130" t="s">
        <v>34</v>
      </c>
      <c r="S130">
        <v>1</v>
      </c>
      <c r="T130">
        <v>2</v>
      </c>
      <c r="U130">
        <v>1</v>
      </c>
      <c r="V130" t="s">
        <v>46</v>
      </c>
      <c r="W130" t="s">
        <v>68</v>
      </c>
      <c r="X130" t="s">
        <v>63</v>
      </c>
      <c r="Y130" t="s">
        <v>33</v>
      </c>
      <c r="Z130">
        <v>4.9000000000000004</v>
      </c>
    </row>
    <row r="131" spans="1:26" x14ac:dyDescent="0.3">
      <c r="A131" t="s">
        <v>250</v>
      </c>
      <c r="B131" s="1">
        <v>46134</v>
      </c>
      <c r="C131" s="1">
        <v>46136</v>
      </c>
      <c r="D131" s="1">
        <v>46140</v>
      </c>
      <c r="E131" t="s">
        <v>82</v>
      </c>
      <c r="F131" t="s">
        <v>83</v>
      </c>
      <c r="G131" t="s">
        <v>84</v>
      </c>
      <c r="H131">
        <v>1538</v>
      </c>
      <c r="I131" t="s">
        <v>30</v>
      </c>
      <c r="J131">
        <v>2</v>
      </c>
      <c r="K131">
        <v>10766</v>
      </c>
      <c r="L131">
        <v>9</v>
      </c>
      <c r="M131" t="s">
        <v>205</v>
      </c>
      <c r="N131">
        <v>9</v>
      </c>
      <c r="O131">
        <v>3.3</v>
      </c>
      <c r="P131" t="s">
        <v>45</v>
      </c>
      <c r="Q131" t="s">
        <v>38</v>
      </c>
      <c r="R131" t="s">
        <v>67</v>
      </c>
      <c r="S131">
        <v>3</v>
      </c>
      <c r="T131">
        <v>4</v>
      </c>
      <c r="U131">
        <v>1</v>
      </c>
      <c r="V131" t="s">
        <v>46</v>
      </c>
      <c r="W131" t="s">
        <v>55</v>
      </c>
      <c r="X131" t="s">
        <v>76</v>
      </c>
      <c r="Y131" t="s">
        <v>62</v>
      </c>
      <c r="Z131">
        <v>4.0999999999999996</v>
      </c>
    </row>
    <row r="132" spans="1:26" x14ac:dyDescent="0.3">
      <c r="A132" t="s">
        <v>251</v>
      </c>
      <c r="B132" s="1">
        <v>46128</v>
      </c>
      <c r="C132" s="1">
        <v>46128</v>
      </c>
      <c r="D132" s="1">
        <v>46130</v>
      </c>
      <c r="E132" t="s">
        <v>40</v>
      </c>
      <c r="F132" t="s">
        <v>41</v>
      </c>
      <c r="G132" t="s">
        <v>42</v>
      </c>
      <c r="H132">
        <v>1143</v>
      </c>
      <c r="I132" t="s">
        <v>30</v>
      </c>
      <c r="J132">
        <v>3</v>
      </c>
      <c r="K132">
        <v>9144</v>
      </c>
      <c r="L132">
        <v>6</v>
      </c>
      <c r="M132" t="s">
        <v>78</v>
      </c>
      <c r="N132">
        <v>13</v>
      </c>
      <c r="O132">
        <v>3.2</v>
      </c>
      <c r="P132" t="s">
        <v>53</v>
      </c>
      <c r="Q132" t="s">
        <v>33</v>
      </c>
      <c r="R132" t="s">
        <v>67</v>
      </c>
      <c r="S132">
        <v>2</v>
      </c>
      <c r="T132">
        <v>2</v>
      </c>
      <c r="U132">
        <v>0</v>
      </c>
      <c r="V132" t="s">
        <v>35</v>
      </c>
      <c r="W132" t="s">
        <v>36</v>
      </c>
      <c r="X132" t="s">
        <v>76</v>
      </c>
      <c r="Y132" t="s">
        <v>38</v>
      </c>
      <c r="Z132">
        <v>3.9</v>
      </c>
    </row>
    <row r="133" spans="1:26" x14ac:dyDescent="0.3">
      <c r="A133" t="s">
        <v>252</v>
      </c>
      <c r="B133" s="1">
        <v>46109</v>
      </c>
      <c r="C133" s="1">
        <v>46111</v>
      </c>
      <c r="D133" s="1">
        <v>46113</v>
      </c>
      <c r="E133" t="s">
        <v>27</v>
      </c>
      <c r="F133" t="s">
        <v>28</v>
      </c>
      <c r="G133" t="s">
        <v>29</v>
      </c>
      <c r="H133">
        <v>701</v>
      </c>
      <c r="I133" t="s">
        <v>87</v>
      </c>
      <c r="J133">
        <v>7</v>
      </c>
      <c r="K133">
        <v>6309</v>
      </c>
      <c r="L133">
        <v>6</v>
      </c>
      <c r="M133" t="s">
        <v>52</v>
      </c>
      <c r="N133">
        <v>4</v>
      </c>
      <c r="O133">
        <v>4.5</v>
      </c>
      <c r="P133" t="s">
        <v>32</v>
      </c>
      <c r="Q133" t="s">
        <v>38</v>
      </c>
      <c r="R133" t="s">
        <v>54</v>
      </c>
      <c r="S133">
        <v>1</v>
      </c>
      <c r="T133">
        <v>2</v>
      </c>
      <c r="U133">
        <v>1</v>
      </c>
      <c r="V133" t="s">
        <v>46</v>
      </c>
      <c r="W133" t="s">
        <v>36</v>
      </c>
      <c r="X133" t="s">
        <v>76</v>
      </c>
      <c r="Y133" t="s">
        <v>62</v>
      </c>
      <c r="Z133">
        <v>4.2</v>
      </c>
    </row>
    <row r="134" spans="1:26" x14ac:dyDescent="0.3">
      <c r="A134" t="s">
        <v>253</v>
      </c>
      <c r="B134" s="1">
        <v>46121</v>
      </c>
      <c r="C134" s="1">
        <v>46123</v>
      </c>
      <c r="D134" s="1">
        <v>46127</v>
      </c>
      <c r="E134" t="s">
        <v>49</v>
      </c>
      <c r="F134" t="s">
        <v>50</v>
      </c>
      <c r="G134" t="s">
        <v>51</v>
      </c>
      <c r="H134">
        <v>685</v>
      </c>
      <c r="I134" t="s">
        <v>30</v>
      </c>
      <c r="J134">
        <v>3</v>
      </c>
      <c r="K134">
        <v>7535</v>
      </c>
      <c r="L134">
        <v>9</v>
      </c>
      <c r="M134" t="s">
        <v>239</v>
      </c>
      <c r="N134">
        <v>7</v>
      </c>
      <c r="O134">
        <v>3.6</v>
      </c>
      <c r="P134" t="s">
        <v>32</v>
      </c>
      <c r="Q134" t="s">
        <v>33</v>
      </c>
      <c r="R134" t="s">
        <v>54</v>
      </c>
      <c r="S134">
        <v>1</v>
      </c>
      <c r="T134">
        <v>4</v>
      </c>
      <c r="U134">
        <v>3</v>
      </c>
      <c r="V134" t="s">
        <v>46</v>
      </c>
      <c r="W134" t="s">
        <v>55</v>
      </c>
      <c r="X134" t="s">
        <v>95</v>
      </c>
      <c r="Y134" t="s">
        <v>38</v>
      </c>
      <c r="Z134">
        <v>4.9000000000000004</v>
      </c>
    </row>
    <row r="135" spans="1:26" x14ac:dyDescent="0.3">
      <c r="A135" t="s">
        <v>254</v>
      </c>
      <c r="B135" s="1">
        <v>46143</v>
      </c>
      <c r="C135" s="1">
        <v>46145</v>
      </c>
      <c r="D135" s="1">
        <v>46149</v>
      </c>
      <c r="E135" t="s">
        <v>111</v>
      </c>
      <c r="F135" t="s">
        <v>27</v>
      </c>
      <c r="G135" t="s">
        <v>112</v>
      </c>
      <c r="H135">
        <v>1274</v>
      </c>
      <c r="I135" t="s">
        <v>30</v>
      </c>
      <c r="J135">
        <v>7</v>
      </c>
      <c r="K135">
        <v>11466</v>
      </c>
      <c r="L135">
        <v>6</v>
      </c>
      <c r="M135" t="s">
        <v>131</v>
      </c>
      <c r="N135">
        <v>7</v>
      </c>
      <c r="O135">
        <v>3.4</v>
      </c>
      <c r="P135" t="s">
        <v>53</v>
      </c>
      <c r="Q135" t="s">
        <v>38</v>
      </c>
      <c r="R135" t="s">
        <v>67</v>
      </c>
      <c r="S135">
        <v>2</v>
      </c>
      <c r="T135">
        <v>4</v>
      </c>
      <c r="U135">
        <v>2</v>
      </c>
      <c r="V135" t="s">
        <v>46</v>
      </c>
      <c r="W135" t="s">
        <v>36</v>
      </c>
      <c r="X135" t="s">
        <v>95</v>
      </c>
      <c r="Y135" t="s">
        <v>38</v>
      </c>
      <c r="Z135">
        <v>4.0999999999999996</v>
      </c>
    </row>
    <row r="136" spans="1:26" x14ac:dyDescent="0.3">
      <c r="A136" t="s">
        <v>255</v>
      </c>
      <c r="B136" s="1">
        <v>46076</v>
      </c>
      <c r="C136" s="1">
        <v>46078</v>
      </c>
      <c r="D136" s="1">
        <v>46081</v>
      </c>
      <c r="E136" t="s">
        <v>82</v>
      </c>
      <c r="F136" t="s">
        <v>83</v>
      </c>
      <c r="G136" t="s">
        <v>84</v>
      </c>
      <c r="H136">
        <v>995</v>
      </c>
      <c r="I136" t="s">
        <v>60</v>
      </c>
      <c r="J136">
        <v>5</v>
      </c>
      <c r="K136">
        <v>6965</v>
      </c>
      <c r="L136">
        <v>7</v>
      </c>
      <c r="M136" t="s">
        <v>97</v>
      </c>
      <c r="N136">
        <v>2</v>
      </c>
      <c r="O136">
        <v>4.8</v>
      </c>
      <c r="P136" t="s">
        <v>66</v>
      </c>
      <c r="Q136" t="s">
        <v>38</v>
      </c>
      <c r="R136" t="s">
        <v>54</v>
      </c>
      <c r="S136">
        <v>2</v>
      </c>
      <c r="T136">
        <v>3</v>
      </c>
      <c r="U136">
        <v>1</v>
      </c>
      <c r="V136" t="s">
        <v>46</v>
      </c>
      <c r="W136" t="s">
        <v>36</v>
      </c>
      <c r="X136" t="s">
        <v>47</v>
      </c>
      <c r="Y136" t="s">
        <v>62</v>
      </c>
      <c r="Z136">
        <v>4.3</v>
      </c>
    </row>
    <row r="137" spans="1:26" x14ac:dyDescent="0.3">
      <c r="A137" t="s">
        <v>256</v>
      </c>
      <c r="B137" s="1">
        <v>46100</v>
      </c>
      <c r="C137" s="1">
        <v>46100</v>
      </c>
      <c r="D137" s="1">
        <v>46105</v>
      </c>
      <c r="E137" t="s">
        <v>72</v>
      </c>
      <c r="F137" t="s">
        <v>73</v>
      </c>
      <c r="G137" t="s">
        <v>74</v>
      </c>
      <c r="H137">
        <v>585</v>
      </c>
      <c r="I137" t="s">
        <v>60</v>
      </c>
      <c r="J137">
        <v>8</v>
      </c>
      <c r="K137">
        <v>4095</v>
      </c>
      <c r="L137">
        <v>7</v>
      </c>
      <c r="M137" t="s">
        <v>131</v>
      </c>
      <c r="N137">
        <v>15</v>
      </c>
      <c r="O137">
        <v>3</v>
      </c>
      <c r="P137" t="s">
        <v>45</v>
      </c>
      <c r="Q137" t="s">
        <v>33</v>
      </c>
      <c r="R137" t="s">
        <v>67</v>
      </c>
      <c r="S137">
        <v>1</v>
      </c>
      <c r="T137">
        <v>5</v>
      </c>
      <c r="U137">
        <v>4</v>
      </c>
      <c r="V137" t="s">
        <v>46</v>
      </c>
      <c r="W137" t="s">
        <v>55</v>
      </c>
      <c r="X137" t="s">
        <v>37</v>
      </c>
      <c r="Y137" t="s">
        <v>62</v>
      </c>
      <c r="Z137">
        <v>4.8</v>
      </c>
    </row>
    <row r="138" spans="1:26" x14ac:dyDescent="0.3">
      <c r="A138" t="s">
        <v>257</v>
      </c>
      <c r="B138" s="1">
        <v>46093</v>
      </c>
      <c r="C138" s="1">
        <v>46094</v>
      </c>
      <c r="D138" s="1">
        <v>46099</v>
      </c>
      <c r="E138" t="s">
        <v>57</v>
      </c>
      <c r="F138" t="s">
        <v>58</v>
      </c>
      <c r="G138" t="s">
        <v>59</v>
      </c>
      <c r="H138">
        <v>979</v>
      </c>
      <c r="I138" t="s">
        <v>43</v>
      </c>
      <c r="J138">
        <v>9</v>
      </c>
      <c r="K138">
        <v>10769</v>
      </c>
      <c r="L138">
        <v>7</v>
      </c>
      <c r="M138" t="s">
        <v>131</v>
      </c>
      <c r="N138">
        <v>5</v>
      </c>
      <c r="O138">
        <v>3.7</v>
      </c>
      <c r="P138" t="s">
        <v>53</v>
      </c>
      <c r="Q138" t="s">
        <v>62</v>
      </c>
      <c r="R138" t="s">
        <v>67</v>
      </c>
      <c r="S138">
        <v>2</v>
      </c>
      <c r="T138">
        <v>5</v>
      </c>
      <c r="U138">
        <v>3</v>
      </c>
      <c r="V138" t="s">
        <v>46</v>
      </c>
      <c r="W138" t="s">
        <v>68</v>
      </c>
      <c r="X138" t="s">
        <v>37</v>
      </c>
      <c r="Y138" t="s">
        <v>62</v>
      </c>
      <c r="Z138">
        <v>3.6</v>
      </c>
    </row>
    <row r="139" spans="1:26" x14ac:dyDescent="0.3">
      <c r="A139" t="s">
        <v>258</v>
      </c>
      <c r="B139" s="1">
        <v>46028</v>
      </c>
      <c r="C139" s="1">
        <v>46030</v>
      </c>
      <c r="D139" s="1">
        <v>46033</v>
      </c>
      <c r="E139" t="s">
        <v>40</v>
      </c>
      <c r="F139" t="s">
        <v>41</v>
      </c>
      <c r="G139" t="s">
        <v>42</v>
      </c>
      <c r="H139">
        <v>1718</v>
      </c>
      <c r="I139" t="s">
        <v>60</v>
      </c>
      <c r="J139">
        <v>1</v>
      </c>
      <c r="K139">
        <v>13744</v>
      </c>
      <c r="L139">
        <v>9</v>
      </c>
      <c r="M139" t="s">
        <v>145</v>
      </c>
      <c r="N139">
        <v>10</v>
      </c>
      <c r="O139">
        <v>4.4000000000000004</v>
      </c>
      <c r="P139" t="s">
        <v>66</v>
      </c>
      <c r="Q139" t="s">
        <v>38</v>
      </c>
      <c r="R139" t="s">
        <v>67</v>
      </c>
      <c r="S139">
        <v>3</v>
      </c>
      <c r="T139">
        <v>3</v>
      </c>
      <c r="U139">
        <v>0</v>
      </c>
      <c r="V139" t="s">
        <v>35</v>
      </c>
      <c r="W139" t="s">
        <v>68</v>
      </c>
      <c r="X139" t="s">
        <v>76</v>
      </c>
      <c r="Y139" t="s">
        <v>38</v>
      </c>
      <c r="Z139">
        <v>4</v>
      </c>
    </row>
    <row r="140" spans="1:26" x14ac:dyDescent="0.3">
      <c r="A140" t="s">
        <v>259</v>
      </c>
      <c r="B140" s="1">
        <v>46106</v>
      </c>
      <c r="C140" s="1">
        <v>46108</v>
      </c>
      <c r="D140" s="1">
        <v>46113</v>
      </c>
      <c r="E140" t="s">
        <v>49</v>
      </c>
      <c r="F140" t="s">
        <v>50</v>
      </c>
      <c r="G140" t="s">
        <v>51</v>
      </c>
      <c r="H140">
        <v>727</v>
      </c>
      <c r="I140" t="s">
        <v>43</v>
      </c>
      <c r="J140">
        <v>8</v>
      </c>
      <c r="K140">
        <v>6543</v>
      </c>
      <c r="L140">
        <v>6</v>
      </c>
      <c r="M140" t="s">
        <v>78</v>
      </c>
      <c r="N140">
        <v>13</v>
      </c>
      <c r="O140">
        <v>3.7</v>
      </c>
      <c r="P140" t="s">
        <v>45</v>
      </c>
      <c r="Q140" t="s">
        <v>33</v>
      </c>
      <c r="R140" t="s">
        <v>54</v>
      </c>
      <c r="S140">
        <v>1</v>
      </c>
      <c r="T140">
        <v>5</v>
      </c>
      <c r="U140">
        <v>4</v>
      </c>
      <c r="V140" t="s">
        <v>46</v>
      </c>
      <c r="W140" t="s">
        <v>55</v>
      </c>
      <c r="X140" t="s">
        <v>63</v>
      </c>
      <c r="Y140" t="s">
        <v>33</v>
      </c>
      <c r="Z140">
        <v>3.1</v>
      </c>
    </row>
    <row r="141" spans="1:26" x14ac:dyDescent="0.3">
      <c r="A141" t="s">
        <v>260</v>
      </c>
      <c r="B141" s="1">
        <v>46131</v>
      </c>
      <c r="C141" s="1">
        <v>46131</v>
      </c>
      <c r="D141" s="1">
        <v>46135</v>
      </c>
      <c r="E141" t="s">
        <v>27</v>
      </c>
      <c r="F141" t="s">
        <v>28</v>
      </c>
      <c r="G141" t="s">
        <v>29</v>
      </c>
      <c r="H141">
        <v>1765</v>
      </c>
      <c r="I141" t="s">
        <v>87</v>
      </c>
      <c r="J141">
        <v>7</v>
      </c>
      <c r="K141">
        <v>12355</v>
      </c>
      <c r="L141">
        <v>10</v>
      </c>
      <c r="M141" t="s">
        <v>239</v>
      </c>
      <c r="N141">
        <v>2</v>
      </c>
      <c r="O141">
        <v>4.4000000000000004</v>
      </c>
      <c r="P141" t="s">
        <v>32</v>
      </c>
      <c r="Q141" t="s">
        <v>38</v>
      </c>
      <c r="R141" t="s">
        <v>54</v>
      </c>
      <c r="S141">
        <v>3</v>
      </c>
      <c r="T141">
        <v>4</v>
      </c>
      <c r="U141">
        <v>1</v>
      </c>
      <c r="V141" t="s">
        <v>46</v>
      </c>
      <c r="W141" t="s">
        <v>68</v>
      </c>
      <c r="X141" t="s">
        <v>63</v>
      </c>
      <c r="Y141" t="s">
        <v>33</v>
      </c>
      <c r="Z141">
        <v>4.3</v>
      </c>
    </row>
    <row r="142" spans="1:26" x14ac:dyDescent="0.3">
      <c r="A142" t="s">
        <v>261</v>
      </c>
      <c r="B142" s="1">
        <v>46142</v>
      </c>
      <c r="C142" s="1">
        <v>46144</v>
      </c>
      <c r="D142" s="1">
        <v>46150</v>
      </c>
      <c r="E142" t="s">
        <v>92</v>
      </c>
      <c r="F142" t="s">
        <v>93</v>
      </c>
      <c r="G142" t="s">
        <v>94</v>
      </c>
      <c r="H142">
        <v>1550</v>
      </c>
      <c r="I142" t="s">
        <v>43</v>
      </c>
      <c r="J142">
        <v>1</v>
      </c>
      <c r="K142">
        <v>9300</v>
      </c>
      <c r="L142">
        <v>9</v>
      </c>
      <c r="M142" t="s">
        <v>88</v>
      </c>
      <c r="N142">
        <v>7</v>
      </c>
      <c r="O142">
        <v>3</v>
      </c>
      <c r="P142" t="s">
        <v>66</v>
      </c>
      <c r="Q142" t="s">
        <v>33</v>
      </c>
      <c r="R142" t="s">
        <v>34</v>
      </c>
      <c r="S142">
        <v>3</v>
      </c>
      <c r="T142">
        <v>6</v>
      </c>
      <c r="U142">
        <v>3</v>
      </c>
      <c r="V142" t="s">
        <v>46</v>
      </c>
      <c r="W142" t="s">
        <v>36</v>
      </c>
      <c r="X142" t="s">
        <v>63</v>
      </c>
      <c r="Y142" t="s">
        <v>38</v>
      </c>
      <c r="Z142">
        <v>4</v>
      </c>
    </row>
    <row r="143" spans="1:26" x14ac:dyDescent="0.3">
      <c r="A143" t="s">
        <v>262</v>
      </c>
      <c r="B143" s="1">
        <v>46053</v>
      </c>
      <c r="C143" s="1">
        <v>46053</v>
      </c>
      <c r="D143" s="1">
        <v>46057</v>
      </c>
      <c r="E143" t="s">
        <v>57</v>
      </c>
      <c r="F143" t="s">
        <v>58</v>
      </c>
      <c r="G143" t="s">
        <v>59</v>
      </c>
      <c r="H143">
        <v>925</v>
      </c>
      <c r="I143" t="s">
        <v>30</v>
      </c>
      <c r="J143">
        <v>7</v>
      </c>
      <c r="K143">
        <v>5550</v>
      </c>
      <c r="L143">
        <v>7</v>
      </c>
      <c r="M143" t="s">
        <v>205</v>
      </c>
      <c r="N143">
        <v>8</v>
      </c>
      <c r="O143">
        <v>4.0999999999999996</v>
      </c>
      <c r="P143" t="s">
        <v>45</v>
      </c>
      <c r="Q143" t="s">
        <v>62</v>
      </c>
      <c r="R143" t="s">
        <v>54</v>
      </c>
      <c r="S143">
        <v>2</v>
      </c>
      <c r="T143">
        <v>4</v>
      </c>
      <c r="U143">
        <v>2</v>
      </c>
      <c r="V143" t="s">
        <v>46</v>
      </c>
      <c r="W143" t="s">
        <v>55</v>
      </c>
      <c r="X143" t="s">
        <v>63</v>
      </c>
      <c r="Y143" t="s">
        <v>38</v>
      </c>
      <c r="Z143">
        <v>3.8</v>
      </c>
    </row>
    <row r="144" spans="1:26" x14ac:dyDescent="0.3">
      <c r="A144" t="s">
        <v>263</v>
      </c>
      <c r="B144" s="1">
        <v>46071</v>
      </c>
      <c r="C144" s="1">
        <v>46073</v>
      </c>
      <c r="D144" s="1">
        <v>46074</v>
      </c>
      <c r="E144" t="s">
        <v>92</v>
      </c>
      <c r="F144" t="s">
        <v>93</v>
      </c>
      <c r="G144" t="s">
        <v>94</v>
      </c>
      <c r="H144">
        <v>314</v>
      </c>
      <c r="I144" t="s">
        <v>87</v>
      </c>
      <c r="J144">
        <v>3</v>
      </c>
      <c r="K144">
        <v>1884</v>
      </c>
      <c r="L144">
        <v>8</v>
      </c>
      <c r="M144" t="s">
        <v>120</v>
      </c>
      <c r="N144">
        <v>11</v>
      </c>
      <c r="O144">
        <v>4.5999999999999996</v>
      </c>
      <c r="P144" t="s">
        <v>32</v>
      </c>
      <c r="Q144" t="s">
        <v>33</v>
      </c>
      <c r="R144" t="s">
        <v>67</v>
      </c>
      <c r="S144">
        <v>1</v>
      </c>
      <c r="T144">
        <v>1</v>
      </c>
      <c r="U144">
        <v>0</v>
      </c>
      <c r="V144" t="s">
        <v>35</v>
      </c>
      <c r="W144" t="s">
        <v>55</v>
      </c>
      <c r="X144" t="s">
        <v>76</v>
      </c>
      <c r="Y144" t="s">
        <v>62</v>
      </c>
      <c r="Z144">
        <v>3.5</v>
      </c>
    </row>
    <row r="145" spans="1:26" x14ac:dyDescent="0.3">
      <c r="A145" t="s">
        <v>264</v>
      </c>
      <c r="B145" s="1">
        <v>46141</v>
      </c>
      <c r="C145" s="1">
        <v>46141</v>
      </c>
      <c r="D145" s="1">
        <v>46143</v>
      </c>
      <c r="E145" t="s">
        <v>57</v>
      </c>
      <c r="F145" t="s">
        <v>58</v>
      </c>
      <c r="G145" t="s">
        <v>59</v>
      </c>
      <c r="H145">
        <v>1312</v>
      </c>
      <c r="I145" t="s">
        <v>87</v>
      </c>
      <c r="J145">
        <v>3</v>
      </c>
      <c r="K145">
        <v>15744</v>
      </c>
      <c r="L145">
        <v>7</v>
      </c>
      <c r="M145" t="s">
        <v>135</v>
      </c>
      <c r="N145">
        <v>4</v>
      </c>
      <c r="O145">
        <v>4.2</v>
      </c>
      <c r="P145" t="s">
        <v>53</v>
      </c>
      <c r="Q145" t="s">
        <v>38</v>
      </c>
      <c r="R145" t="s">
        <v>34</v>
      </c>
      <c r="S145">
        <v>2</v>
      </c>
      <c r="T145">
        <v>2</v>
      </c>
      <c r="U145">
        <v>0</v>
      </c>
      <c r="V145" t="s">
        <v>35</v>
      </c>
      <c r="W145" t="s">
        <v>55</v>
      </c>
      <c r="X145" t="s">
        <v>95</v>
      </c>
      <c r="Y145" t="s">
        <v>33</v>
      </c>
      <c r="Z145">
        <v>4.8</v>
      </c>
    </row>
    <row r="146" spans="1:26" x14ac:dyDescent="0.3">
      <c r="A146" t="s">
        <v>265</v>
      </c>
      <c r="B146" s="1">
        <v>46065</v>
      </c>
      <c r="C146" s="1">
        <v>46066</v>
      </c>
      <c r="D146" s="1">
        <v>46072</v>
      </c>
      <c r="E146" t="s">
        <v>82</v>
      </c>
      <c r="F146" t="s">
        <v>83</v>
      </c>
      <c r="G146" t="s">
        <v>84</v>
      </c>
      <c r="H146">
        <v>1611</v>
      </c>
      <c r="I146" t="s">
        <v>87</v>
      </c>
      <c r="J146">
        <v>9</v>
      </c>
      <c r="K146">
        <v>17721</v>
      </c>
      <c r="L146">
        <v>7</v>
      </c>
      <c r="M146" t="s">
        <v>208</v>
      </c>
      <c r="N146">
        <v>2</v>
      </c>
      <c r="O146">
        <v>3.9</v>
      </c>
      <c r="P146" t="s">
        <v>32</v>
      </c>
      <c r="Q146" t="s">
        <v>62</v>
      </c>
      <c r="R146" t="s">
        <v>54</v>
      </c>
      <c r="S146">
        <v>3</v>
      </c>
      <c r="T146">
        <v>6</v>
      </c>
      <c r="U146">
        <v>3</v>
      </c>
      <c r="V146" t="s">
        <v>46</v>
      </c>
      <c r="W146" t="s">
        <v>68</v>
      </c>
      <c r="X146" t="s">
        <v>63</v>
      </c>
      <c r="Y146" t="s">
        <v>33</v>
      </c>
      <c r="Z146">
        <v>3.5</v>
      </c>
    </row>
    <row r="147" spans="1:26" x14ac:dyDescent="0.3">
      <c r="A147" t="s">
        <v>266</v>
      </c>
      <c r="B147" s="1">
        <v>46080</v>
      </c>
      <c r="C147" s="1">
        <v>46081</v>
      </c>
      <c r="D147" s="1">
        <v>46083</v>
      </c>
      <c r="E147" t="s">
        <v>40</v>
      </c>
      <c r="F147" t="s">
        <v>41</v>
      </c>
      <c r="G147" t="s">
        <v>42</v>
      </c>
      <c r="H147">
        <v>928</v>
      </c>
      <c r="I147" t="s">
        <v>43</v>
      </c>
      <c r="J147">
        <v>7</v>
      </c>
      <c r="K147">
        <v>6496</v>
      </c>
      <c r="L147">
        <v>10</v>
      </c>
      <c r="M147" t="s">
        <v>145</v>
      </c>
      <c r="N147">
        <v>11</v>
      </c>
      <c r="O147">
        <v>3.8</v>
      </c>
      <c r="P147" t="s">
        <v>66</v>
      </c>
      <c r="Q147" t="s">
        <v>38</v>
      </c>
      <c r="R147" t="s">
        <v>54</v>
      </c>
      <c r="S147">
        <v>2</v>
      </c>
      <c r="T147">
        <v>2</v>
      </c>
      <c r="U147">
        <v>0</v>
      </c>
      <c r="V147" t="s">
        <v>35</v>
      </c>
      <c r="W147" t="s">
        <v>68</v>
      </c>
      <c r="X147" t="s">
        <v>37</v>
      </c>
      <c r="Y147" t="s">
        <v>62</v>
      </c>
      <c r="Z147">
        <v>4.4000000000000004</v>
      </c>
    </row>
    <row r="148" spans="1:26" x14ac:dyDescent="0.3">
      <c r="A148" t="s">
        <v>267</v>
      </c>
      <c r="B148" s="1">
        <v>46104</v>
      </c>
      <c r="C148" s="1">
        <v>46104</v>
      </c>
      <c r="D148" s="1">
        <v>46105</v>
      </c>
      <c r="E148" t="s">
        <v>111</v>
      </c>
      <c r="F148" t="s">
        <v>27</v>
      </c>
      <c r="G148" t="s">
        <v>112</v>
      </c>
      <c r="H148">
        <v>848</v>
      </c>
      <c r="I148" t="s">
        <v>30</v>
      </c>
      <c r="J148">
        <v>2</v>
      </c>
      <c r="K148">
        <v>5088</v>
      </c>
      <c r="L148">
        <v>5</v>
      </c>
      <c r="M148" t="s">
        <v>131</v>
      </c>
      <c r="N148">
        <v>8</v>
      </c>
      <c r="O148">
        <v>3.7</v>
      </c>
      <c r="P148" t="s">
        <v>66</v>
      </c>
      <c r="Q148" t="s">
        <v>38</v>
      </c>
      <c r="R148" t="s">
        <v>67</v>
      </c>
      <c r="S148">
        <v>1</v>
      </c>
      <c r="T148">
        <v>1</v>
      </c>
      <c r="U148">
        <v>0</v>
      </c>
      <c r="V148" t="s">
        <v>35</v>
      </c>
      <c r="W148" t="s">
        <v>68</v>
      </c>
      <c r="X148" t="s">
        <v>95</v>
      </c>
      <c r="Y148" t="s">
        <v>33</v>
      </c>
      <c r="Z148">
        <v>4.0999999999999996</v>
      </c>
    </row>
    <row r="149" spans="1:26" x14ac:dyDescent="0.3">
      <c r="A149" t="s">
        <v>268</v>
      </c>
      <c r="B149" s="1">
        <v>46075</v>
      </c>
      <c r="C149" s="1">
        <v>46075</v>
      </c>
      <c r="D149" s="1">
        <v>46079</v>
      </c>
      <c r="E149" t="s">
        <v>27</v>
      </c>
      <c r="F149" t="s">
        <v>28</v>
      </c>
      <c r="G149" t="s">
        <v>29</v>
      </c>
      <c r="H149">
        <v>383</v>
      </c>
      <c r="I149" t="s">
        <v>30</v>
      </c>
      <c r="J149">
        <v>9</v>
      </c>
      <c r="K149">
        <v>2298</v>
      </c>
      <c r="L149">
        <v>9</v>
      </c>
      <c r="M149" t="s">
        <v>269</v>
      </c>
      <c r="N149">
        <v>13</v>
      </c>
      <c r="O149">
        <v>3.6</v>
      </c>
      <c r="P149" t="s">
        <v>53</v>
      </c>
      <c r="Q149" t="s">
        <v>38</v>
      </c>
      <c r="R149" t="s">
        <v>34</v>
      </c>
      <c r="S149">
        <v>1</v>
      </c>
      <c r="T149">
        <v>4</v>
      </c>
      <c r="U149">
        <v>3</v>
      </c>
      <c r="V149" t="s">
        <v>46</v>
      </c>
      <c r="W149" t="s">
        <v>36</v>
      </c>
      <c r="X149" t="s">
        <v>76</v>
      </c>
      <c r="Y149" t="s">
        <v>38</v>
      </c>
      <c r="Z149">
        <v>4.0999999999999996</v>
      </c>
    </row>
    <row r="150" spans="1:26" x14ac:dyDescent="0.3">
      <c r="A150" t="s">
        <v>270</v>
      </c>
      <c r="B150" s="1">
        <v>46044</v>
      </c>
      <c r="C150" s="1">
        <v>46046</v>
      </c>
      <c r="D150" s="1">
        <v>46048</v>
      </c>
      <c r="E150" t="s">
        <v>111</v>
      </c>
      <c r="F150" t="s">
        <v>27</v>
      </c>
      <c r="G150" t="s">
        <v>112</v>
      </c>
      <c r="H150">
        <v>547</v>
      </c>
      <c r="I150" t="s">
        <v>60</v>
      </c>
      <c r="J150">
        <v>5</v>
      </c>
      <c r="K150">
        <v>4376</v>
      </c>
      <c r="L150">
        <v>7</v>
      </c>
      <c r="M150" t="s">
        <v>153</v>
      </c>
      <c r="N150">
        <v>3</v>
      </c>
      <c r="O150">
        <v>3.1</v>
      </c>
      <c r="P150" t="s">
        <v>53</v>
      </c>
      <c r="Q150" t="s">
        <v>62</v>
      </c>
      <c r="R150" t="s">
        <v>34</v>
      </c>
      <c r="S150">
        <v>1</v>
      </c>
      <c r="T150">
        <v>2</v>
      </c>
      <c r="U150">
        <v>1</v>
      </c>
      <c r="V150" t="s">
        <v>46</v>
      </c>
      <c r="W150" t="s">
        <v>36</v>
      </c>
      <c r="X150" t="s">
        <v>47</v>
      </c>
      <c r="Y150" t="s">
        <v>62</v>
      </c>
      <c r="Z150">
        <v>4.9000000000000004</v>
      </c>
    </row>
    <row r="151" spans="1:26" x14ac:dyDescent="0.3">
      <c r="A151" t="s">
        <v>271</v>
      </c>
      <c r="B151" s="1">
        <v>46115</v>
      </c>
      <c r="C151" s="1">
        <v>46117</v>
      </c>
      <c r="D151" s="1">
        <v>46122</v>
      </c>
      <c r="E151" t="s">
        <v>92</v>
      </c>
      <c r="F151" t="s">
        <v>93</v>
      </c>
      <c r="G151" t="s">
        <v>94</v>
      </c>
      <c r="H151">
        <v>1416</v>
      </c>
      <c r="I151" t="s">
        <v>60</v>
      </c>
      <c r="J151">
        <v>8</v>
      </c>
      <c r="K151">
        <v>8496</v>
      </c>
      <c r="L151">
        <v>6</v>
      </c>
      <c r="M151" t="s">
        <v>131</v>
      </c>
      <c r="N151">
        <v>1</v>
      </c>
      <c r="O151">
        <v>4.9000000000000004</v>
      </c>
      <c r="P151" t="s">
        <v>66</v>
      </c>
      <c r="Q151" t="s">
        <v>33</v>
      </c>
      <c r="R151" t="s">
        <v>34</v>
      </c>
      <c r="S151">
        <v>3</v>
      </c>
      <c r="T151">
        <v>5</v>
      </c>
      <c r="U151">
        <v>2</v>
      </c>
      <c r="V151" t="s">
        <v>46</v>
      </c>
      <c r="W151" t="s">
        <v>68</v>
      </c>
      <c r="X151" t="s">
        <v>76</v>
      </c>
      <c r="Y151" t="s">
        <v>38</v>
      </c>
      <c r="Z151">
        <v>3.6</v>
      </c>
    </row>
    <row r="152" spans="1:26" x14ac:dyDescent="0.3">
      <c r="A152" t="s">
        <v>272</v>
      </c>
      <c r="B152" s="1">
        <v>46100</v>
      </c>
      <c r="C152" s="1">
        <v>46102</v>
      </c>
      <c r="D152" s="1">
        <v>46106</v>
      </c>
      <c r="E152" t="s">
        <v>40</v>
      </c>
      <c r="F152" t="s">
        <v>41</v>
      </c>
      <c r="G152" t="s">
        <v>42</v>
      </c>
      <c r="H152">
        <v>1181</v>
      </c>
      <c r="I152" t="s">
        <v>30</v>
      </c>
      <c r="J152">
        <v>3</v>
      </c>
      <c r="K152">
        <v>10629</v>
      </c>
      <c r="L152">
        <v>7</v>
      </c>
      <c r="M152" t="s">
        <v>99</v>
      </c>
      <c r="N152">
        <v>12</v>
      </c>
      <c r="O152">
        <v>4.4000000000000004</v>
      </c>
      <c r="P152" t="s">
        <v>53</v>
      </c>
      <c r="Q152" t="s">
        <v>33</v>
      </c>
      <c r="R152" t="s">
        <v>67</v>
      </c>
      <c r="S152">
        <v>2</v>
      </c>
      <c r="T152">
        <v>4</v>
      </c>
      <c r="U152">
        <v>2</v>
      </c>
      <c r="V152" t="s">
        <v>46</v>
      </c>
      <c r="W152" t="s">
        <v>68</v>
      </c>
      <c r="X152" t="s">
        <v>47</v>
      </c>
      <c r="Y152" t="s">
        <v>38</v>
      </c>
      <c r="Z152">
        <v>4.9000000000000004</v>
      </c>
    </row>
    <row r="153" spans="1:26" x14ac:dyDescent="0.3">
      <c r="A153" t="s">
        <v>273</v>
      </c>
      <c r="B153" s="1">
        <v>46048</v>
      </c>
      <c r="C153" s="1">
        <v>46050</v>
      </c>
      <c r="D153" s="1">
        <v>46056</v>
      </c>
      <c r="E153" t="s">
        <v>82</v>
      </c>
      <c r="F153" t="s">
        <v>83</v>
      </c>
      <c r="G153" t="s">
        <v>84</v>
      </c>
      <c r="H153">
        <v>1596</v>
      </c>
      <c r="I153" t="s">
        <v>87</v>
      </c>
      <c r="J153">
        <v>8</v>
      </c>
      <c r="K153">
        <v>17556</v>
      </c>
      <c r="L153">
        <v>6</v>
      </c>
      <c r="M153" t="s">
        <v>128</v>
      </c>
      <c r="N153">
        <v>13</v>
      </c>
      <c r="O153">
        <v>3.6</v>
      </c>
      <c r="P153" t="s">
        <v>32</v>
      </c>
      <c r="Q153" t="s">
        <v>62</v>
      </c>
      <c r="R153" t="s">
        <v>54</v>
      </c>
      <c r="S153">
        <v>3</v>
      </c>
      <c r="T153">
        <v>6</v>
      </c>
      <c r="U153">
        <v>3</v>
      </c>
      <c r="V153" t="s">
        <v>46</v>
      </c>
      <c r="W153" t="s">
        <v>36</v>
      </c>
      <c r="X153" t="s">
        <v>47</v>
      </c>
      <c r="Y153" t="s">
        <v>38</v>
      </c>
      <c r="Z153">
        <v>3.5</v>
      </c>
    </row>
    <row r="154" spans="1:26" x14ac:dyDescent="0.3">
      <c r="A154" t="s">
        <v>274</v>
      </c>
      <c r="B154" s="1">
        <v>46042</v>
      </c>
      <c r="C154" s="1">
        <v>46044</v>
      </c>
      <c r="D154" s="1">
        <v>46052</v>
      </c>
      <c r="E154" t="s">
        <v>111</v>
      </c>
      <c r="F154" t="s">
        <v>27</v>
      </c>
      <c r="G154" t="s">
        <v>112</v>
      </c>
      <c r="H154">
        <v>972</v>
      </c>
      <c r="I154" t="s">
        <v>87</v>
      </c>
      <c r="J154">
        <v>8</v>
      </c>
      <c r="K154">
        <v>9720</v>
      </c>
      <c r="L154">
        <v>8</v>
      </c>
      <c r="M154" t="s">
        <v>145</v>
      </c>
      <c r="N154">
        <v>7</v>
      </c>
      <c r="O154">
        <v>4.0999999999999996</v>
      </c>
      <c r="P154" t="s">
        <v>53</v>
      </c>
      <c r="Q154" t="s">
        <v>33</v>
      </c>
      <c r="R154" t="s">
        <v>67</v>
      </c>
      <c r="S154">
        <v>2</v>
      </c>
      <c r="T154">
        <v>8</v>
      </c>
      <c r="U154">
        <v>6</v>
      </c>
      <c r="V154" t="s">
        <v>46</v>
      </c>
      <c r="W154" t="s">
        <v>55</v>
      </c>
      <c r="X154" t="s">
        <v>76</v>
      </c>
      <c r="Y154" t="s">
        <v>33</v>
      </c>
      <c r="Z154">
        <v>4.8</v>
      </c>
    </row>
    <row r="155" spans="1:26" x14ac:dyDescent="0.3">
      <c r="A155" t="s">
        <v>275</v>
      </c>
      <c r="B155" s="1">
        <v>46036</v>
      </c>
      <c r="C155" s="1">
        <v>46036</v>
      </c>
      <c r="D155" s="1">
        <v>46037</v>
      </c>
      <c r="E155" t="s">
        <v>49</v>
      </c>
      <c r="F155" t="s">
        <v>50</v>
      </c>
      <c r="G155" t="s">
        <v>51</v>
      </c>
      <c r="H155">
        <v>540</v>
      </c>
      <c r="I155" t="s">
        <v>87</v>
      </c>
      <c r="J155">
        <v>10</v>
      </c>
      <c r="K155">
        <v>5940</v>
      </c>
      <c r="L155">
        <v>10</v>
      </c>
      <c r="M155" t="s">
        <v>97</v>
      </c>
      <c r="N155">
        <v>7</v>
      </c>
      <c r="O155">
        <v>4.9000000000000004</v>
      </c>
      <c r="P155" t="s">
        <v>66</v>
      </c>
      <c r="Q155" t="s">
        <v>62</v>
      </c>
      <c r="R155" t="s">
        <v>67</v>
      </c>
      <c r="S155">
        <v>1</v>
      </c>
      <c r="T155">
        <v>1</v>
      </c>
      <c r="U155">
        <v>0</v>
      </c>
      <c r="V155" t="s">
        <v>35</v>
      </c>
      <c r="W155" t="s">
        <v>68</v>
      </c>
      <c r="X155" t="s">
        <v>37</v>
      </c>
      <c r="Y155" t="s">
        <v>33</v>
      </c>
      <c r="Z155">
        <v>4.5</v>
      </c>
    </row>
    <row r="156" spans="1:26" x14ac:dyDescent="0.3">
      <c r="A156" t="s">
        <v>276</v>
      </c>
      <c r="B156" s="1">
        <v>46094</v>
      </c>
      <c r="C156" s="1">
        <v>46096</v>
      </c>
      <c r="D156" s="1">
        <v>46099</v>
      </c>
      <c r="E156" t="s">
        <v>40</v>
      </c>
      <c r="F156" t="s">
        <v>41</v>
      </c>
      <c r="G156" t="s">
        <v>42</v>
      </c>
      <c r="H156">
        <v>1112</v>
      </c>
      <c r="I156" t="s">
        <v>30</v>
      </c>
      <c r="J156">
        <v>7</v>
      </c>
      <c r="K156">
        <v>10008</v>
      </c>
      <c r="L156">
        <v>10</v>
      </c>
      <c r="M156" t="s">
        <v>145</v>
      </c>
      <c r="N156">
        <v>12</v>
      </c>
      <c r="O156">
        <v>4</v>
      </c>
      <c r="P156" t="s">
        <v>66</v>
      </c>
      <c r="Q156" t="s">
        <v>38</v>
      </c>
      <c r="R156" t="s">
        <v>34</v>
      </c>
      <c r="S156">
        <v>2</v>
      </c>
      <c r="T156">
        <v>3</v>
      </c>
      <c r="U156">
        <v>1</v>
      </c>
      <c r="V156" t="s">
        <v>46</v>
      </c>
      <c r="W156" t="s">
        <v>68</v>
      </c>
      <c r="X156" t="s">
        <v>63</v>
      </c>
      <c r="Y156" t="s">
        <v>38</v>
      </c>
      <c r="Z156">
        <v>4.7</v>
      </c>
    </row>
    <row r="157" spans="1:26" x14ac:dyDescent="0.3">
      <c r="A157" t="s">
        <v>277</v>
      </c>
      <c r="B157" s="1">
        <v>46116</v>
      </c>
      <c r="C157" s="1">
        <v>46116</v>
      </c>
      <c r="D157" s="1">
        <v>46120</v>
      </c>
      <c r="E157" t="s">
        <v>49</v>
      </c>
      <c r="F157" t="s">
        <v>50</v>
      </c>
      <c r="G157" t="s">
        <v>51</v>
      </c>
      <c r="H157">
        <v>838</v>
      </c>
      <c r="I157" t="s">
        <v>30</v>
      </c>
      <c r="J157">
        <v>8</v>
      </c>
      <c r="K157">
        <v>10056</v>
      </c>
      <c r="L157">
        <v>6</v>
      </c>
      <c r="M157" t="s">
        <v>85</v>
      </c>
      <c r="N157">
        <v>8</v>
      </c>
      <c r="O157">
        <v>3.7</v>
      </c>
      <c r="P157" t="s">
        <v>32</v>
      </c>
      <c r="Q157" t="s">
        <v>62</v>
      </c>
      <c r="R157" t="s">
        <v>54</v>
      </c>
      <c r="S157">
        <v>1</v>
      </c>
      <c r="T157">
        <v>4</v>
      </c>
      <c r="U157">
        <v>3</v>
      </c>
      <c r="V157" t="s">
        <v>46</v>
      </c>
      <c r="W157" t="s">
        <v>68</v>
      </c>
      <c r="X157" t="s">
        <v>63</v>
      </c>
      <c r="Y157" t="s">
        <v>62</v>
      </c>
      <c r="Z157">
        <v>3.1</v>
      </c>
    </row>
    <row r="158" spans="1:26" x14ac:dyDescent="0.3">
      <c r="A158" t="s">
        <v>278</v>
      </c>
      <c r="B158" s="1">
        <v>46113</v>
      </c>
      <c r="C158" s="1">
        <v>46113</v>
      </c>
      <c r="D158" s="1">
        <v>46118</v>
      </c>
      <c r="E158" t="s">
        <v>27</v>
      </c>
      <c r="F158" t="s">
        <v>28</v>
      </c>
      <c r="G158" t="s">
        <v>29</v>
      </c>
      <c r="H158">
        <v>902</v>
      </c>
      <c r="I158" t="s">
        <v>87</v>
      </c>
      <c r="J158">
        <v>3</v>
      </c>
      <c r="K158">
        <v>9922</v>
      </c>
      <c r="L158">
        <v>6</v>
      </c>
      <c r="M158" t="s">
        <v>85</v>
      </c>
      <c r="N158">
        <v>3</v>
      </c>
      <c r="O158">
        <v>4.0999999999999996</v>
      </c>
      <c r="P158" t="s">
        <v>66</v>
      </c>
      <c r="Q158" t="s">
        <v>33</v>
      </c>
      <c r="R158" t="s">
        <v>34</v>
      </c>
      <c r="S158">
        <v>2</v>
      </c>
      <c r="T158">
        <v>5</v>
      </c>
      <c r="U158">
        <v>3</v>
      </c>
      <c r="V158" t="s">
        <v>46</v>
      </c>
      <c r="W158" t="s">
        <v>55</v>
      </c>
      <c r="X158" t="s">
        <v>37</v>
      </c>
      <c r="Y158" t="s">
        <v>38</v>
      </c>
      <c r="Z158">
        <v>4.3</v>
      </c>
    </row>
    <row r="159" spans="1:26" x14ac:dyDescent="0.3">
      <c r="A159" t="s">
        <v>279</v>
      </c>
      <c r="B159" s="1">
        <v>46078</v>
      </c>
      <c r="C159" s="1">
        <v>46079</v>
      </c>
      <c r="D159" s="1">
        <v>46082</v>
      </c>
      <c r="E159" t="s">
        <v>27</v>
      </c>
      <c r="F159" t="s">
        <v>28</v>
      </c>
      <c r="G159" t="s">
        <v>29</v>
      </c>
      <c r="H159">
        <v>1710</v>
      </c>
      <c r="I159" t="s">
        <v>60</v>
      </c>
      <c r="J159">
        <v>8</v>
      </c>
      <c r="K159">
        <v>17100</v>
      </c>
      <c r="L159">
        <v>8</v>
      </c>
      <c r="M159" t="s">
        <v>75</v>
      </c>
      <c r="N159">
        <v>1</v>
      </c>
      <c r="O159">
        <v>4.4000000000000004</v>
      </c>
      <c r="P159" t="s">
        <v>45</v>
      </c>
      <c r="Q159" t="s">
        <v>62</v>
      </c>
      <c r="R159" t="s">
        <v>54</v>
      </c>
      <c r="S159">
        <v>3</v>
      </c>
      <c r="T159">
        <v>3</v>
      </c>
      <c r="U159">
        <v>0</v>
      </c>
      <c r="V159" t="s">
        <v>35</v>
      </c>
      <c r="W159" t="s">
        <v>55</v>
      </c>
      <c r="X159" t="s">
        <v>37</v>
      </c>
      <c r="Y159" t="s">
        <v>62</v>
      </c>
      <c r="Z159">
        <v>3.7</v>
      </c>
    </row>
    <row r="160" spans="1:26" x14ac:dyDescent="0.3">
      <c r="A160" t="s">
        <v>280</v>
      </c>
      <c r="B160" s="1">
        <v>46081</v>
      </c>
      <c r="C160" s="1">
        <v>46081</v>
      </c>
      <c r="D160" s="1">
        <v>46085</v>
      </c>
      <c r="E160" t="s">
        <v>57</v>
      </c>
      <c r="F160" t="s">
        <v>58</v>
      </c>
      <c r="G160" t="s">
        <v>59</v>
      </c>
      <c r="H160">
        <v>1573</v>
      </c>
      <c r="I160" t="s">
        <v>43</v>
      </c>
      <c r="J160">
        <v>9</v>
      </c>
      <c r="K160">
        <v>17303</v>
      </c>
      <c r="L160">
        <v>7</v>
      </c>
      <c r="M160" t="s">
        <v>269</v>
      </c>
      <c r="N160">
        <v>7</v>
      </c>
      <c r="O160">
        <v>4.2</v>
      </c>
      <c r="P160" t="s">
        <v>32</v>
      </c>
      <c r="Q160" t="s">
        <v>62</v>
      </c>
      <c r="R160" t="s">
        <v>34</v>
      </c>
      <c r="S160">
        <v>3</v>
      </c>
      <c r="T160">
        <v>4</v>
      </c>
      <c r="U160">
        <v>1</v>
      </c>
      <c r="V160" t="s">
        <v>46</v>
      </c>
      <c r="W160" t="s">
        <v>55</v>
      </c>
      <c r="X160" t="s">
        <v>37</v>
      </c>
      <c r="Y160" t="s">
        <v>33</v>
      </c>
      <c r="Z160">
        <v>4.4000000000000004</v>
      </c>
    </row>
    <row r="161" spans="1:26" x14ac:dyDescent="0.3">
      <c r="A161" t="s">
        <v>281</v>
      </c>
      <c r="B161" s="1">
        <v>46061</v>
      </c>
      <c r="C161" s="1">
        <v>46063</v>
      </c>
      <c r="D161" s="1">
        <v>46067</v>
      </c>
      <c r="E161" t="s">
        <v>72</v>
      </c>
      <c r="F161" t="s">
        <v>73</v>
      </c>
      <c r="G161" t="s">
        <v>74</v>
      </c>
      <c r="H161">
        <v>1576</v>
      </c>
      <c r="I161" t="s">
        <v>60</v>
      </c>
      <c r="J161">
        <v>6</v>
      </c>
      <c r="K161">
        <v>9456</v>
      </c>
      <c r="L161">
        <v>6</v>
      </c>
      <c r="M161" t="s">
        <v>131</v>
      </c>
      <c r="N161">
        <v>2</v>
      </c>
      <c r="O161">
        <v>3.4</v>
      </c>
      <c r="P161" t="s">
        <v>45</v>
      </c>
      <c r="Q161" t="s">
        <v>33</v>
      </c>
      <c r="R161" t="s">
        <v>34</v>
      </c>
      <c r="S161">
        <v>3</v>
      </c>
      <c r="T161">
        <v>4</v>
      </c>
      <c r="U161">
        <v>1</v>
      </c>
      <c r="V161" t="s">
        <v>46</v>
      </c>
      <c r="W161" t="s">
        <v>55</v>
      </c>
      <c r="X161" t="s">
        <v>95</v>
      </c>
      <c r="Y161" t="s">
        <v>62</v>
      </c>
      <c r="Z161">
        <v>3.4</v>
      </c>
    </row>
    <row r="162" spans="1:26" x14ac:dyDescent="0.3">
      <c r="A162" t="s">
        <v>282</v>
      </c>
      <c r="B162" s="1">
        <v>46104</v>
      </c>
      <c r="C162" s="1">
        <v>46106</v>
      </c>
      <c r="D162" s="1">
        <v>46109</v>
      </c>
      <c r="E162" t="s">
        <v>82</v>
      </c>
      <c r="F162" t="s">
        <v>83</v>
      </c>
      <c r="G162" t="s">
        <v>84</v>
      </c>
      <c r="H162">
        <v>1336</v>
      </c>
      <c r="I162" t="s">
        <v>60</v>
      </c>
      <c r="J162">
        <v>8</v>
      </c>
      <c r="K162">
        <v>10688</v>
      </c>
      <c r="L162">
        <v>6</v>
      </c>
      <c r="M162" t="s">
        <v>283</v>
      </c>
      <c r="N162">
        <v>6</v>
      </c>
      <c r="O162">
        <v>4.7</v>
      </c>
      <c r="P162" t="s">
        <v>32</v>
      </c>
      <c r="Q162" t="s">
        <v>62</v>
      </c>
      <c r="R162" t="s">
        <v>67</v>
      </c>
      <c r="S162">
        <v>2</v>
      </c>
      <c r="T162">
        <v>3</v>
      </c>
      <c r="U162">
        <v>1</v>
      </c>
      <c r="V162" t="s">
        <v>46</v>
      </c>
      <c r="W162" t="s">
        <v>36</v>
      </c>
      <c r="X162" t="s">
        <v>37</v>
      </c>
      <c r="Y162" t="s">
        <v>62</v>
      </c>
      <c r="Z162">
        <v>4.9000000000000004</v>
      </c>
    </row>
    <row r="163" spans="1:26" x14ac:dyDescent="0.3">
      <c r="A163" t="s">
        <v>284</v>
      </c>
      <c r="B163" s="1">
        <v>46087</v>
      </c>
      <c r="C163" s="1">
        <v>46089</v>
      </c>
      <c r="D163" s="1">
        <v>46091</v>
      </c>
      <c r="E163" t="s">
        <v>92</v>
      </c>
      <c r="F163" t="s">
        <v>93</v>
      </c>
      <c r="G163" t="s">
        <v>94</v>
      </c>
      <c r="H163">
        <v>1037</v>
      </c>
      <c r="I163" t="s">
        <v>43</v>
      </c>
      <c r="J163">
        <v>7</v>
      </c>
      <c r="K163">
        <v>11407</v>
      </c>
      <c r="L163">
        <v>8</v>
      </c>
      <c r="M163" t="s">
        <v>153</v>
      </c>
      <c r="N163">
        <v>3</v>
      </c>
      <c r="O163">
        <v>3.2</v>
      </c>
      <c r="P163" t="s">
        <v>32</v>
      </c>
      <c r="Q163" t="s">
        <v>38</v>
      </c>
      <c r="R163" t="s">
        <v>34</v>
      </c>
      <c r="S163">
        <v>2</v>
      </c>
      <c r="T163">
        <v>2</v>
      </c>
      <c r="U163">
        <v>0</v>
      </c>
      <c r="V163" t="s">
        <v>35</v>
      </c>
      <c r="W163" t="s">
        <v>68</v>
      </c>
      <c r="X163" t="s">
        <v>37</v>
      </c>
      <c r="Y163" t="s">
        <v>33</v>
      </c>
      <c r="Z163">
        <v>3.6</v>
      </c>
    </row>
    <row r="164" spans="1:26" x14ac:dyDescent="0.3">
      <c r="A164" t="s">
        <v>285</v>
      </c>
      <c r="B164" s="1">
        <v>46122</v>
      </c>
      <c r="C164" s="1">
        <v>46123</v>
      </c>
      <c r="D164" s="1">
        <v>46126</v>
      </c>
      <c r="E164" t="s">
        <v>92</v>
      </c>
      <c r="F164" t="s">
        <v>93</v>
      </c>
      <c r="G164" t="s">
        <v>94</v>
      </c>
      <c r="H164">
        <v>1325</v>
      </c>
      <c r="I164" t="s">
        <v>87</v>
      </c>
      <c r="J164">
        <v>10</v>
      </c>
      <c r="K164">
        <v>7950</v>
      </c>
      <c r="L164">
        <v>7</v>
      </c>
      <c r="M164" t="s">
        <v>170</v>
      </c>
      <c r="N164">
        <v>9</v>
      </c>
      <c r="O164">
        <v>4.5999999999999996</v>
      </c>
      <c r="P164" t="s">
        <v>66</v>
      </c>
      <c r="Q164" t="s">
        <v>33</v>
      </c>
      <c r="R164" t="s">
        <v>67</v>
      </c>
      <c r="S164">
        <v>2</v>
      </c>
      <c r="T164">
        <v>3</v>
      </c>
      <c r="U164">
        <v>1</v>
      </c>
      <c r="V164" t="s">
        <v>46</v>
      </c>
      <c r="W164" t="s">
        <v>68</v>
      </c>
      <c r="X164" t="s">
        <v>63</v>
      </c>
      <c r="Y164" t="s">
        <v>33</v>
      </c>
      <c r="Z164">
        <v>4.7</v>
      </c>
    </row>
    <row r="165" spans="1:26" x14ac:dyDescent="0.3">
      <c r="A165" t="s">
        <v>286</v>
      </c>
      <c r="B165" s="1">
        <v>46119</v>
      </c>
      <c r="C165" s="1">
        <v>46119</v>
      </c>
      <c r="D165" s="1">
        <v>46122</v>
      </c>
      <c r="E165" t="s">
        <v>57</v>
      </c>
      <c r="F165" t="s">
        <v>58</v>
      </c>
      <c r="G165" t="s">
        <v>59</v>
      </c>
      <c r="H165">
        <v>266</v>
      </c>
      <c r="I165" t="s">
        <v>43</v>
      </c>
      <c r="J165">
        <v>5</v>
      </c>
      <c r="K165">
        <v>2128</v>
      </c>
      <c r="L165">
        <v>5</v>
      </c>
      <c r="M165" t="s">
        <v>128</v>
      </c>
      <c r="N165">
        <v>14</v>
      </c>
      <c r="O165">
        <v>5</v>
      </c>
      <c r="P165" t="s">
        <v>45</v>
      </c>
      <c r="Q165" t="s">
        <v>38</v>
      </c>
      <c r="R165" t="s">
        <v>54</v>
      </c>
      <c r="S165">
        <v>1</v>
      </c>
      <c r="T165">
        <v>3</v>
      </c>
      <c r="U165">
        <v>2</v>
      </c>
      <c r="V165" t="s">
        <v>46</v>
      </c>
      <c r="W165" t="s">
        <v>55</v>
      </c>
      <c r="X165" t="s">
        <v>76</v>
      </c>
      <c r="Y165" t="s">
        <v>33</v>
      </c>
      <c r="Z165">
        <v>3.9</v>
      </c>
    </row>
    <row r="166" spans="1:26" x14ac:dyDescent="0.3">
      <c r="A166" t="s">
        <v>287</v>
      </c>
      <c r="B166" s="1">
        <v>46101</v>
      </c>
      <c r="C166" s="1">
        <v>46101</v>
      </c>
      <c r="D166" s="1">
        <v>46104</v>
      </c>
      <c r="E166" t="s">
        <v>40</v>
      </c>
      <c r="F166" t="s">
        <v>41</v>
      </c>
      <c r="G166" t="s">
        <v>42</v>
      </c>
      <c r="H166">
        <v>623</v>
      </c>
      <c r="I166" t="s">
        <v>87</v>
      </c>
      <c r="J166">
        <v>10</v>
      </c>
      <c r="K166">
        <v>4984</v>
      </c>
      <c r="L166">
        <v>9</v>
      </c>
      <c r="M166" t="s">
        <v>44</v>
      </c>
      <c r="N166">
        <v>10</v>
      </c>
      <c r="O166">
        <v>4.0999999999999996</v>
      </c>
      <c r="P166" t="s">
        <v>66</v>
      </c>
      <c r="Q166" t="s">
        <v>33</v>
      </c>
      <c r="R166" t="s">
        <v>34</v>
      </c>
      <c r="S166">
        <v>1</v>
      </c>
      <c r="T166">
        <v>3</v>
      </c>
      <c r="U166">
        <v>2</v>
      </c>
      <c r="V166" t="s">
        <v>46</v>
      </c>
      <c r="W166" t="s">
        <v>55</v>
      </c>
      <c r="X166" t="s">
        <v>63</v>
      </c>
      <c r="Y166" t="s">
        <v>38</v>
      </c>
      <c r="Z166">
        <v>4.9000000000000004</v>
      </c>
    </row>
    <row r="167" spans="1:26" x14ac:dyDescent="0.3">
      <c r="A167" t="s">
        <v>288</v>
      </c>
      <c r="B167" s="1">
        <v>46123</v>
      </c>
      <c r="C167" s="1">
        <v>46124</v>
      </c>
      <c r="D167" s="1">
        <v>46127</v>
      </c>
      <c r="E167" t="s">
        <v>27</v>
      </c>
      <c r="F167" t="s">
        <v>28</v>
      </c>
      <c r="G167" t="s">
        <v>29</v>
      </c>
      <c r="H167">
        <v>767</v>
      </c>
      <c r="I167" t="s">
        <v>60</v>
      </c>
      <c r="J167">
        <v>3</v>
      </c>
      <c r="K167">
        <v>5369</v>
      </c>
      <c r="L167">
        <v>6</v>
      </c>
      <c r="M167" t="s">
        <v>245</v>
      </c>
      <c r="N167">
        <v>6</v>
      </c>
      <c r="O167">
        <v>4.7</v>
      </c>
      <c r="P167" t="s">
        <v>53</v>
      </c>
      <c r="Q167" t="s">
        <v>62</v>
      </c>
      <c r="R167" t="s">
        <v>67</v>
      </c>
      <c r="S167">
        <v>1</v>
      </c>
      <c r="T167">
        <v>3</v>
      </c>
      <c r="U167">
        <v>2</v>
      </c>
      <c r="V167" t="s">
        <v>46</v>
      </c>
      <c r="W167" t="s">
        <v>55</v>
      </c>
      <c r="X167" t="s">
        <v>95</v>
      </c>
      <c r="Y167" t="s">
        <v>62</v>
      </c>
      <c r="Z167">
        <v>3.9</v>
      </c>
    </row>
    <row r="168" spans="1:26" x14ac:dyDescent="0.3">
      <c r="A168" t="s">
        <v>289</v>
      </c>
      <c r="B168" s="1">
        <v>46104</v>
      </c>
      <c r="C168" s="1">
        <v>46104</v>
      </c>
      <c r="D168" s="1">
        <v>46106</v>
      </c>
      <c r="E168" t="s">
        <v>111</v>
      </c>
      <c r="F168" t="s">
        <v>27</v>
      </c>
      <c r="G168" t="s">
        <v>112</v>
      </c>
      <c r="H168">
        <v>1255</v>
      </c>
      <c r="I168" t="s">
        <v>30</v>
      </c>
      <c r="J168">
        <v>6</v>
      </c>
      <c r="K168">
        <v>11295</v>
      </c>
      <c r="L168">
        <v>8</v>
      </c>
      <c r="M168" t="s">
        <v>226</v>
      </c>
      <c r="N168">
        <v>10</v>
      </c>
      <c r="O168">
        <v>3</v>
      </c>
      <c r="P168" t="s">
        <v>32</v>
      </c>
      <c r="Q168" t="s">
        <v>33</v>
      </c>
      <c r="R168" t="s">
        <v>34</v>
      </c>
      <c r="S168">
        <v>2</v>
      </c>
      <c r="T168">
        <v>2</v>
      </c>
      <c r="U168">
        <v>0</v>
      </c>
      <c r="V168" t="s">
        <v>35</v>
      </c>
      <c r="W168" t="s">
        <v>55</v>
      </c>
      <c r="X168" t="s">
        <v>95</v>
      </c>
      <c r="Y168" t="s">
        <v>38</v>
      </c>
      <c r="Z168">
        <v>4.9000000000000004</v>
      </c>
    </row>
    <row r="169" spans="1:26" x14ac:dyDescent="0.3">
      <c r="A169" t="s">
        <v>290</v>
      </c>
      <c r="B169" s="1">
        <v>46128</v>
      </c>
      <c r="C169" s="1">
        <v>46128</v>
      </c>
      <c r="D169" s="1">
        <v>46129</v>
      </c>
      <c r="E169" t="s">
        <v>92</v>
      </c>
      <c r="F169" t="s">
        <v>93</v>
      </c>
      <c r="G169" t="s">
        <v>94</v>
      </c>
      <c r="H169">
        <v>749</v>
      </c>
      <c r="I169" t="s">
        <v>30</v>
      </c>
      <c r="J169">
        <v>5</v>
      </c>
      <c r="K169">
        <v>5992</v>
      </c>
      <c r="L169">
        <v>9</v>
      </c>
      <c r="M169" t="s">
        <v>105</v>
      </c>
      <c r="N169">
        <v>3</v>
      </c>
      <c r="O169">
        <v>4.0999999999999996</v>
      </c>
      <c r="P169" t="s">
        <v>53</v>
      </c>
      <c r="Q169" t="s">
        <v>62</v>
      </c>
      <c r="R169" t="s">
        <v>54</v>
      </c>
      <c r="S169">
        <v>1</v>
      </c>
      <c r="T169">
        <v>1</v>
      </c>
      <c r="U169">
        <v>0</v>
      </c>
      <c r="V169" t="s">
        <v>35</v>
      </c>
      <c r="W169" t="s">
        <v>36</v>
      </c>
      <c r="X169" t="s">
        <v>95</v>
      </c>
      <c r="Y169" t="s">
        <v>38</v>
      </c>
      <c r="Z169">
        <v>3.2</v>
      </c>
    </row>
    <row r="170" spans="1:26" x14ac:dyDescent="0.3">
      <c r="A170" t="s">
        <v>291</v>
      </c>
      <c r="B170" s="1">
        <v>46132</v>
      </c>
      <c r="C170" s="1">
        <v>46132</v>
      </c>
      <c r="D170" s="1">
        <v>46136</v>
      </c>
      <c r="E170" t="s">
        <v>92</v>
      </c>
      <c r="F170" t="s">
        <v>93</v>
      </c>
      <c r="G170" t="s">
        <v>94</v>
      </c>
      <c r="H170">
        <v>1134</v>
      </c>
      <c r="I170" t="s">
        <v>87</v>
      </c>
      <c r="J170">
        <v>7</v>
      </c>
      <c r="K170">
        <v>7938</v>
      </c>
      <c r="L170">
        <v>10</v>
      </c>
      <c r="M170" t="s">
        <v>147</v>
      </c>
      <c r="N170">
        <v>15</v>
      </c>
      <c r="O170">
        <v>4.3</v>
      </c>
      <c r="P170" t="s">
        <v>45</v>
      </c>
      <c r="Q170" t="s">
        <v>62</v>
      </c>
      <c r="R170" t="s">
        <v>67</v>
      </c>
      <c r="S170">
        <v>2</v>
      </c>
      <c r="T170">
        <v>4</v>
      </c>
      <c r="U170">
        <v>2</v>
      </c>
      <c r="V170" t="s">
        <v>46</v>
      </c>
      <c r="W170" t="s">
        <v>68</v>
      </c>
      <c r="X170" t="s">
        <v>63</v>
      </c>
      <c r="Y170" t="s">
        <v>62</v>
      </c>
      <c r="Z170">
        <v>4.3</v>
      </c>
    </row>
    <row r="171" spans="1:26" x14ac:dyDescent="0.3">
      <c r="A171" t="s">
        <v>292</v>
      </c>
      <c r="B171" s="1">
        <v>46106</v>
      </c>
      <c r="C171" s="1">
        <v>46106</v>
      </c>
      <c r="D171" s="1">
        <v>46108</v>
      </c>
      <c r="E171" t="s">
        <v>27</v>
      </c>
      <c r="F171" t="s">
        <v>28</v>
      </c>
      <c r="G171" t="s">
        <v>29</v>
      </c>
      <c r="H171">
        <v>1011</v>
      </c>
      <c r="I171" t="s">
        <v>30</v>
      </c>
      <c r="J171">
        <v>4</v>
      </c>
      <c r="K171">
        <v>9099</v>
      </c>
      <c r="L171">
        <v>10</v>
      </c>
      <c r="M171" t="s">
        <v>109</v>
      </c>
      <c r="N171">
        <v>12</v>
      </c>
      <c r="O171">
        <v>3.2</v>
      </c>
      <c r="P171" t="s">
        <v>45</v>
      </c>
      <c r="Q171" t="s">
        <v>62</v>
      </c>
      <c r="R171" t="s">
        <v>67</v>
      </c>
      <c r="S171">
        <v>2</v>
      </c>
      <c r="T171">
        <v>2</v>
      </c>
      <c r="U171">
        <v>0</v>
      </c>
      <c r="V171" t="s">
        <v>35</v>
      </c>
      <c r="W171" t="s">
        <v>55</v>
      </c>
      <c r="X171" t="s">
        <v>95</v>
      </c>
      <c r="Y171" t="s">
        <v>38</v>
      </c>
      <c r="Z171">
        <v>3</v>
      </c>
    </row>
    <row r="172" spans="1:26" x14ac:dyDescent="0.3">
      <c r="A172" t="s">
        <v>293</v>
      </c>
      <c r="B172" s="1">
        <v>46066</v>
      </c>
      <c r="C172" s="1">
        <v>46066</v>
      </c>
      <c r="D172" s="1">
        <v>46070</v>
      </c>
      <c r="E172" t="s">
        <v>111</v>
      </c>
      <c r="F172" t="s">
        <v>27</v>
      </c>
      <c r="G172" t="s">
        <v>112</v>
      </c>
      <c r="H172">
        <v>1621</v>
      </c>
      <c r="I172" t="s">
        <v>60</v>
      </c>
      <c r="J172">
        <v>8</v>
      </c>
      <c r="K172">
        <v>9726</v>
      </c>
      <c r="L172">
        <v>6</v>
      </c>
      <c r="M172" t="s">
        <v>75</v>
      </c>
      <c r="N172">
        <v>2</v>
      </c>
      <c r="O172">
        <v>4.5</v>
      </c>
      <c r="P172" t="s">
        <v>32</v>
      </c>
      <c r="Q172" t="s">
        <v>38</v>
      </c>
      <c r="R172" t="s">
        <v>34</v>
      </c>
      <c r="S172">
        <v>3</v>
      </c>
      <c r="T172">
        <v>4</v>
      </c>
      <c r="U172">
        <v>1</v>
      </c>
      <c r="V172" t="s">
        <v>46</v>
      </c>
      <c r="W172" t="s">
        <v>68</v>
      </c>
      <c r="X172" t="s">
        <v>37</v>
      </c>
      <c r="Y172" t="s">
        <v>62</v>
      </c>
      <c r="Z172">
        <v>4.5</v>
      </c>
    </row>
    <row r="173" spans="1:26" x14ac:dyDescent="0.3">
      <c r="A173" t="s">
        <v>294</v>
      </c>
      <c r="B173" s="1">
        <v>46119</v>
      </c>
      <c r="C173" s="1">
        <v>46119</v>
      </c>
      <c r="D173" s="1">
        <v>46123</v>
      </c>
      <c r="E173" t="s">
        <v>82</v>
      </c>
      <c r="F173" t="s">
        <v>83</v>
      </c>
      <c r="G173" t="s">
        <v>84</v>
      </c>
      <c r="H173">
        <v>340</v>
      </c>
      <c r="I173" t="s">
        <v>87</v>
      </c>
      <c r="J173">
        <v>10</v>
      </c>
      <c r="K173">
        <v>3740</v>
      </c>
      <c r="L173">
        <v>6</v>
      </c>
      <c r="M173" t="s">
        <v>128</v>
      </c>
      <c r="N173">
        <v>6</v>
      </c>
      <c r="O173">
        <v>4.4000000000000004</v>
      </c>
      <c r="P173" t="s">
        <v>45</v>
      </c>
      <c r="Q173" t="s">
        <v>62</v>
      </c>
      <c r="R173" t="s">
        <v>54</v>
      </c>
      <c r="S173">
        <v>1</v>
      </c>
      <c r="T173">
        <v>4</v>
      </c>
      <c r="U173">
        <v>3</v>
      </c>
      <c r="V173" t="s">
        <v>46</v>
      </c>
      <c r="W173" t="s">
        <v>36</v>
      </c>
      <c r="X173" t="s">
        <v>63</v>
      </c>
      <c r="Y173" t="s">
        <v>38</v>
      </c>
      <c r="Z173">
        <v>3.3</v>
      </c>
    </row>
    <row r="174" spans="1:26" x14ac:dyDescent="0.3">
      <c r="A174" t="s">
        <v>295</v>
      </c>
      <c r="B174" s="1">
        <v>46038</v>
      </c>
      <c r="C174" s="1">
        <v>46040</v>
      </c>
      <c r="D174" s="1">
        <v>46042</v>
      </c>
      <c r="E174" t="s">
        <v>111</v>
      </c>
      <c r="F174" t="s">
        <v>27</v>
      </c>
      <c r="G174" t="s">
        <v>112</v>
      </c>
      <c r="H174">
        <v>919</v>
      </c>
      <c r="I174" t="s">
        <v>43</v>
      </c>
      <c r="J174">
        <v>6</v>
      </c>
      <c r="K174">
        <v>11028</v>
      </c>
      <c r="L174">
        <v>6</v>
      </c>
      <c r="M174" t="s">
        <v>125</v>
      </c>
      <c r="N174">
        <v>5</v>
      </c>
      <c r="O174">
        <v>4.3</v>
      </c>
      <c r="P174" t="s">
        <v>45</v>
      </c>
      <c r="Q174" t="s">
        <v>33</v>
      </c>
      <c r="R174" t="s">
        <v>54</v>
      </c>
      <c r="S174">
        <v>2</v>
      </c>
      <c r="T174">
        <v>2</v>
      </c>
      <c r="U174">
        <v>0</v>
      </c>
      <c r="V174" t="s">
        <v>35</v>
      </c>
      <c r="W174" t="s">
        <v>55</v>
      </c>
      <c r="X174" t="s">
        <v>47</v>
      </c>
      <c r="Y174" t="s">
        <v>38</v>
      </c>
      <c r="Z174">
        <v>4</v>
      </c>
    </row>
    <row r="175" spans="1:26" x14ac:dyDescent="0.3">
      <c r="A175" t="s">
        <v>296</v>
      </c>
      <c r="B175" s="1">
        <v>46088</v>
      </c>
      <c r="C175" s="1">
        <v>46088</v>
      </c>
      <c r="D175" s="1">
        <v>46091</v>
      </c>
      <c r="E175" t="s">
        <v>111</v>
      </c>
      <c r="F175" t="s">
        <v>27</v>
      </c>
      <c r="G175" t="s">
        <v>112</v>
      </c>
      <c r="H175">
        <v>805</v>
      </c>
      <c r="I175" t="s">
        <v>87</v>
      </c>
      <c r="J175">
        <v>4</v>
      </c>
      <c r="K175">
        <v>7245</v>
      </c>
      <c r="L175">
        <v>8</v>
      </c>
      <c r="M175" t="s">
        <v>118</v>
      </c>
      <c r="N175">
        <v>4</v>
      </c>
      <c r="O175">
        <v>4</v>
      </c>
      <c r="P175" t="s">
        <v>32</v>
      </c>
      <c r="Q175" t="s">
        <v>33</v>
      </c>
      <c r="R175" t="s">
        <v>67</v>
      </c>
      <c r="S175">
        <v>1</v>
      </c>
      <c r="T175">
        <v>3</v>
      </c>
      <c r="U175">
        <v>2</v>
      </c>
      <c r="V175" t="s">
        <v>46</v>
      </c>
      <c r="W175" t="s">
        <v>36</v>
      </c>
      <c r="X175" t="s">
        <v>95</v>
      </c>
      <c r="Y175" t="s">
        <v>33</v>
      </c>
      <c r="Z175">
        <v>3.8</v>
      </c>
    </row>
    <row r="176" spans="1:26" x14ac:dyDescent="0.3">
      <c r="A176" t="s">
        <v>297</v>
      </c>
      <c r="B176" s="1">
        <v>46092</v>
      </c>
      <c r="C176" s="1">
        <v>46094</v>
      </c>
      <c r="D176" s="1">
        <v>46098</v>
      </c>
      <c r="E176" t="s">
        <v>82</v>
      </c>
      <c r="F176" t="s">
        <v>83</v>
      </c>
      <c r="G176" t="s">
        <v>84</v>
      </c>
      <c r="H176">
        <v>1762</v>
      </c>
      <c r="I176" t="s">
        <v>43</v>
      </c>
      <c r="J176">
        <v>2</v>
      </c>
      <c r="K176">
        <v>10572</v>
      </c>
      <c r="L176">
        <v>9</v>
      </c>
      <c r="M176" t="s">
        <v>165</v>
      </c>
      <c r="N176">
        <v>1</v>
      </c>
      <c r="O176">
        <v>3.5</v>
      </c>
      <c r="P176" t="s">
        <v>32</v>
      </c>
      <c r="Q176" t="s">
        <v>38</v>
      </c>
      <c r="R176" t="s">
        <v>34</v>
      </c>
      <c r="S176">
        <v>3</v>
      </c>
      <c r="T176">
        <v>4</v>
      </c>
      <c r="U176">
        <v>1</v>
      </c>
      <c r="V176" t="s">
        <v>46</v>
      </c>
      <c r="W176" t="s">
        <v>55</v>
      </c>
      <c r="X176" t="s">
        <v>76</v>
      </c>
      <c r="Y176" t="s">
        <v>62</v>
      </c>
      <c r="Z176">
        <v>3.8</v>
      </c>
    </row>
    <row r="177" spans="1:26" x14ac:dyDescent="0.3">
      <c r="A177" t="s">
        <v>298</v>
      </c>
      <c r="B177" s="1">
        <v>46074</v>
      </c>
      <c r="C177" s="1">
        <v>46074</v>
      </c>
      <c r="D177" s="1">
        <v>46075</v>
      </c>
      <c r="E177" t="s">
        <v>82</v>
      </c>
      <c r="F177" t="s">
        <v>83</v>
      </c>
      <c r="G177" t="s">
        <v>84</v>
      </c>
      <c r="H177">
        <v>768</v>
      </c>
      <c r="I177" t="s">
        <v>87</v>
      </c>
      <c r="J177">
        <v>5</v>
      </c>
      <c r="K177">
        <v>4608</v>
      </c>
      <c r="L177">
        <v>9</v>
      </c>
      <c r="M177" t="s">
        <v>90</v>
      </c>
      <c r="N177">
        <v>13</v>
      </c>
      <c r="O177">
        <v>3.3</v>
      </c>
      <c r="P177" t="s">
        <v>66</v>
      </c>
      <c r="Q177" t="s">
        <v>62</v>
      </c>
      <c r="R177" t="s">
        <v>54</v>
      </c>
      <c r="S177">
        <v>1</v>
      </c>
      <c r="T177">
        <v>1</v>
      </c>
      <c r="U177">
        <v>0</v>
      </c>
      <c r="V177" t="s">
        <v>35</v>
      </c>
      <c r="W177" t="s">
        <v>68</v>
      </c>
      <c r="X177" t="s">
        <v>95</v>
      </c>
      <c r="Y177" t="s">
        <v>33</v>
      </c>
      <c r="Z177">
        <v>4.9000000000000004</v>
      </c>
    </row>
    <row r="178" spans="1:26" x14ac:dyDescent="0.3">
      <c r="A178" t="s">
        <v>299</v>
      </c>
      <c r="B178" s="1">
        <v>46053</v>
      </c>
      <c r="C178" s="1">
        <v>46053</v>
      </c>
      <c r="D178" s="1">
        <v>46055</v>
      </c>
      <c r="E178" t="s">
        <v>40</v>
      </c>
      <c r="F178" t="s">
        <v>41</v>
      </c>
      <c r="G178" t="s">
        <v>42</v>
      </c>
      <c r="H178">
        <v>376</v>
      </c>
      <c r="I178" t="s">
        <v>43</v>
      </c>
      <c r="J178">
        <v>2</v>
      </c>
      <c r="K178">
        <v>3384</v>
      </c>
      <c r="L178">
        <v>9</v>
      </c>
      <c r="M178" t="s">
        <v>269</v>
      </c>
      <c r="N178">
        <v>1</v>
      </c>
      <c r="O178">
        <v>3.6</v>
      </c>
      <c r="P178" t="s">
        <v>45</v>
      </c>
      <c r="Q178" t="s">
        <v>38</v>
      </c>
      <c r="R178" t="s">
        <v>67</v>
      </c>
      <c r="S178">
        <v>1</v>
      </c>
      <c r="T178">
        <v>2</v>
      </c>
      <c r="U178">
        <v>1</v>
      </c>
      <c r="V178" t="s">
        <v>46</v>
      </c>
      <c r="W178" t="s">
        <v>55</v>
      </c>
      <c r="X178" t="s">
        <v>63</v>
      </c>
      <c r="Y178" t="s">
        <v>38</v>
      </c>
      <c r="Z178">
        <v>4</v>
      </c>
    </row>
    <row r="179" spans="1:26" x14ac:dyDescent="0.3">
      <c r="A179" t="s">
        <v>300</v>
      </c>
      <c r="B179" s="1">
        <v>46067</v>
      </c>
      <c r="C179" s="1">
        <v>46069</v>
      </c>
      <c r="D179" s="1">
        <v>46071</v>
      </c>
      <c r="E179" t="s">
        <v>57</v>
      </c>
      <c r="F179" t="s">
        <v>58</v>
      </c>
      <c r="G179" t="s">
        <v>59</v>
      </c>
      <c r="H179">
        <v>541</v>
      </c>
      <c r="I179" t="s">
        <v>30</v>
      </c>
      <c r="J179">
        <v>3</v>
      </c>
      <c r="K179">
        <v>5951</v>
      </c>
      <c r="L179">
        <v>7</v>
      </c>
      <c r="M179" t="s">
        <v>78</v>
      </c>
      <c r="N179">
        <v>15</v>
      </c>
      <c r="O179">
        <v>3.2</v>
      </c>
      <c r="P179" t="s">
        <v>32</v>
      </c>
      <c r="Q179" t="s">
        <v>62</v>
      </c>
      <c r="R179" t="s">
        <v>34</v>
      </c>
      <c r="S179">
        <v>1</v>
      </c>
      <c r="T179">
        <v>2</v>
      </c>
      <c r="U179">
        <v>1</v>
      </c>
      <c r="V179" t="s">
        <v>46</v>
      </c>
      <c r="W179" t="s">
        <v>55</v>
      </c>
      <c r="X179" t="s">
        <v>63</v>
      </c>
      <c r="Y179" t="s">
        <v>62</v>
      </c>
      <c r="Z179">
        <v>4.4000000000000004</v>
      </c>
    </row>
    <row r="180" spans="1:26" x14ac:dyDescent="0.3">
      <c r="A180" t="s">
        <v>301</v>
      </c>
      <c r="B180" s="1">
        <v>46096</v>
      </c>
      <c r="C180" s="1">
        <v>46098</v>
      </c>
      <c r="D180" s="1">
        <v>46102</v>
      </c>
      <c r="E180" t="s">
        <v>72</v>
      </c>
      <c r="F180" t="s">
        <v>73</v>
      </c>
      <c r="G180" t="s">
        <v>74</v>
      </c>
      <c r="H180">
        <v>1216</v>
      </c>
      <c r="I180" t="s">
        <v>43</v>
      </c>
      <c r="J180">
        <v>9</v>
      </c>
      <c r="K180">
        <v>9728</v>
      </c>
      <c r="L180">
        <v>5</v>
      </c>
      <c r="M180" t="s">
        <v>153</v>
      </c>
      <c r="N180">
        <v>14</v>
      </c>
      <c r="O180">
        <v>4.0999999999999996</v>
      </c>
      <c r="P180" t="s">
        <v>66</v>
      </c>
      <c r="Q180" t="s">
        <v>38</v>
      </c>
      <c r="R180" t="s">
        <v>34</v>
      </c>
      <c r="S180">
        <v>2</v>
      </c>
      <c r="T180">
        <v>4</v>
      </c>
      <c r="U180">
        <v>2</v>
      </c>
      <c r="V180" t="s">
        <v>46</v>
      </c>
      <c r="W180" t="s">
        <v>55</v>
      </c>
      <c r="X180" t="s">
        <v>63</v>
      </c>
      <c r="Y180" t="s">
        <v>38</v>
      </c>
      <c r="Z180">
        <v>4.5</v>
      </c>
    </row>
    <row r="181" spans="1:26" x14ac:dyDescent="0.3">
      <c r="A181" t="s">
        <v>302</v>
      </c>
      <c r="B181" s="1">
        <v>46023</v>
      </c>
      <c r="C181" s="1">
        <v>46023</v>
      </c>
      <c r="D181" s="1">
        <v>46025</v>
      </c>
      <c r="E181" t="s">
        <v>27</v>
      </c>
      <c r="F181" t="s">
        <v>28</v>
      </c>
      <c r="G181" t="s">
        <v>29</v>
      </c>
      <c r="H181">
        <v>700</v>
      </c>
      <c r="I181" t="s">
        <v>87</v>
      </c>
      <c r="J181">
        <v>8</v>
      </c>
      <c r="K181">
        <v>5600</v>
      </c>
      <c r="L181">
        <v>8</v>
      </c>
      <c r="M181" t="s">
        <v>70</v>
      </c>
      <c r="N181">
        <v>3</v>
      </c>
      <c r="O181">
        <v>4.9000000000000004</v>
      </c>
      <c r="P181" t="s">
        <v>32</v>
      </c>
      <c r="Q181" t="s">
        <v>33</v>
      </c>
      <c r="R181" t="s">
        <v>54</v>
      </c>
      <c r="S181">
        <v>1</v>
      </c>
      <c r="T181">
        <v>2</v>
      </c>
      <c r="U181">
        <v>1</v>
      </c>
      <c r="V181" t="s">
        <v>46</v>
      </c>
      <c r="W181" t="s">
        <v>68</v>
      </c>
      <c r="X181" t="s">
        <v>37</v>
      </c>
      <c r="Y181" t="s">
        <v>62</v>
      </c>
      <c r="Z181">
        <v>4.8</v>
      </c>
    </row>
    <row r="182" spans="1:26" x14ac:dyDescent="0.3">
      <c r="A182" t="s">
        <v>303</v>
      </c>
      <c r="B182" s="1">
        <v>46063</v>
      </c>
      <c r="C182" s="1">
        <v>46064</v>
      </c>
      <c r="D182" s="1">
        <v>46068</v>
      </c>
      <c r="E182" t="s">
        <v>72</v>
      </c>
      <c r="F182" t="s">
        <v>73</v>
      </c>
      <c r="G182" t="s">
        <v>74</v>
      </c>
      <c r="H182">
        <v>1370</v>
      </c>
      <c r="I182" t="s">
        <v>30</v>
      </c>
      <c r="J182">
        <v>2</v>
      </c>
      <c r="K182">
        <v>13700</v>
      </c>
      <c r="L182">
        <v>10</v>
      </c>
      <c r="M182" t="s">
        <v>208</v>
      </c>
      <c r="N182">
        <v>3</v>
      </c>
      <c r="O182">
        <v>3.4</v>
      </c>
      <c r="P182" t="s">
        <v>32</v>
      </c>
      <c r="Q182" t="s">
        <v>62</v>
      </c>
      <c r="R182" t="s">
        <v>67</v>
      </c>
      <c r="S182">
        <v>3</v>
      </c>
      <c r="T182">
        <v>4</v>
      </c>
      <c r="U182">
        <v>1</v>
      </c>
      <c r="V182" t="s">
        <v>46</v>
      </c>
      <c r="W182" t="s">
        <v>68</v>
      </c>
      <c r="X182" t="s">
        <v>47</v>
      </c>
      <c r="Y182" t="s">
        <v>62</v>
      </c>
      <c r="Z182">
        <v>3.2</v>
      </c>
    </row>
    <row r="183" spans="1:26" x14ac:dyDescent="0.3">
      <c r="A183" t="s">
        <v>304</v>
      </c>
      <c r="B183" s="1">
        <v>46081</v>
      </c>
      <c r="C183" s="1">
        <v>46081</v>
      </c>
      <c r="D183" s="1">
        <v>46086</v>
      </c>
      <c r="E183" t="s">
        <v>49</v>
      </c>
      <c r="F183" t="s">
        <v>50</v>
      </c>
      <c r="G183" t="s">
        <v>51</v>
      </c>
      <c r="H183">
        <v>610</v>
      </c>
      <c r="I183" t="s">
        <v>30</v>
      </c>
      <c r="J183">
        <v>10</v>
      </c>
      <c r="K183">
        <v>7320</v>
      </c>
      <c r="L183">
        <v>7</v>
      </c>
      <c r="M183" t="s">
        <v>31</v>
      </c>
      <c r="N183">
        <v>10</v>
      </c>
      <c r="O183">
        <v>3.5</v>
      </c>
      <c r="P183" t="s">
        <v>66</v>
      </c>
      <c r="Q183" t="s">
        <v>33</v>
      </c>
      <c r="R183" t="s">
        <v>34</v>
      </c>
      <c r="S183">
        <v>1</v>
      </c>
      <c r="T183">
        <v>5</v>
      </c>
      <c r="U183">
        <v>4</v>
      </c>
      <c r="V183" t="s">
        <v>46</v>
      </c>
      <c r="W183" t="s">
        <v>36</v>
      </c>
      <c r="X183" t="s">
        <v>37</v>
      </c>
      <c r="Y183" t="s">
        <v>38</v>
      </c>
      <c r="Z183">
        <v>4.9000000000000004</v>
      </c>
    </row>
    <row r="184" spans="1:26" x14ac:dyDescent="0.3">
      <c r="A184" t="s">
        <v>305</v>
      </c>
      <c r="B184" s="1">
        <v>46026</v>
      </c>
      <c r="C184" s="1">
        <v>46026</v>
      </c>
      <c r="D184" s="1">
        <v>46030</v>
      </c>
      <c r="E184" t="s">
        <v>49</v>
      </c>
      <c r="F184" t="s">
        <v>50</v>
      </c>
      <c r="G184" t="s">
        <v>51</v>
      </c>
      <c r="H184">
        <v>1502</v>
      </c>
      <c r="I184" t="s">
        <v>87</v>
      </c>
      <c r="J184">
        <v>6</v>
      </c>
      <c r="K184">
        <v>9012</v>
      </c>
      <c r="L184">
        <v>10</v>
      </c>
      <c r="M184" t="s">
        <v>75</v>
      </c>
      <c r="N184">
        <v>14</v>
      </c>
      <c r="O184">
        <v>4.5</v>
      </c>
      <c r="P184" t="s">
        <v>66</v>
      </c>
      <c r="Q184" t="s">
        <v>38</v>
      </c>
      <c r="R184" t="s">
        <v>67</v>
      </c>
      <c r="S184">
        <v>3</v>
      </c>
      <c r="T184">
        <v>4</v>
      </c>
      <c r="U184">
        <v>1</v>
      </c>
      <c r="V184" t="s">
        <v>46</v>
      </c>
      <c r="W184" t="s">
        <v>68</v>
      </c>
      <c r="X184" t="s">
        <v>95</v>
      </c>
      <c r="Y184" t="s">
        <v>38</v>
      </c>
      <c r="Z184">
        <v>4.9000000000000004</v>
      </c>
    </row>
    <row r="185" spans="1:26" x14ac:dyDescent="0.3">
      <c r="A185" t="s">
        <v>306</v>
      </c>
      <c r="B185" s="1">
        <v>46041</v>
      </c>
      <c r="C185" s="1">
        <v>46043</v>
      </c>
      <c r="D185" s="1">
        <v>46045</v>
      </c>
      <c r="E185" t="s">
        <v>57</v>
      </c>
      <c r="F185" t="s">
        <v>58</v>
      </c>
      <c r="G185" t="s">
        <v>59</v>
      </c>
      <c r="H185">
        <v>390</v>
      </c>
      <c r="I185" t="s">
        <v>87</v>
      </c>
      <c r="J185">
        <v>4</v>
      </c>
      <c r="K185">
        <v>4680</v>
      </c>
      <c r="L185">
        <v>9</v>
      </c>
      <c r="M185" t="s">
        <v>114</v>
      </c>
      <c r="N185">
        <v>12</v>
      </c>
      <c r="O185">
        <v>4.8</v>
      </c>
      <c r="P185" t="s">
        <v>53</v>
      </c>
      <c r="Q185" t="s">
        <v>33</v>
      </c>
      <c r="R185" t="s">
        <v>67</v>
      </c>
      <c r="S185">
        <v>1</v>
      </c>
      <c r="T185">
        <v>2</v>
      </c>
      <c r="U185">
        <v>1</v>
      </c>
      <c r="V185" t="s">
        <v>46</v>
      </c>
      <c r="W185" t="s">
        <v>55</v>
      </c>
      <c r="X185" t="s">
        <v>95</v>
      </c>
      <c r="Y185" t="s">
        <v>38</v>
      </c>
      <c r="Z185">
        <v>4.2</v>
      </c>
    </row>
    <row r="186" spans="1:26" x14ac:dyDescent="0.3">
      <c r="A186" t="s">
        <v>307</v>
      </c>
      <c r="B186" s="1">
        <v>46030</v>
      </c>
      <c r="C186" s="1">
        <v>46031</v>
      </c>
      <c r="D186" s="1">
        <v>46032</v>
      </c>
      <c r="E186" t="s">
        <v>82</v>
      </c>
      <c r="F186" t="s">
        <v>83</v>
      </c>
      <c r="G186" t="s">
        <v>84</v>
      </c>
      <c r="H186">
        <v>684</v>
      </c>
      <c r="I186" t="s">
        <v>30</v>
      </c>
      <c r="J186">
        <v>5</v>
      </c>
      <c r="K186">
        <v>8208</v>
      </c>
      <c r="L186">
        <v>7</v>
      </c>
      <c r="M186" t="s">
        <v>205</v>
      </c>
      <c r="N186">
        <v>12</v>
      </c>
      <c r="O186">
        <v>4.7</v>
      </c>
      <c r="P186" t="s">
        <v>66</v>
      </c>
      <c r="Q186" t="s">
        <v>62</v>
      </c>
      <c r="R186" t="s">
        <v>34</v>
      </c>
      <c r="S186">
        <v>1</v>
      </c>
      <c r="T186">
        <v>1</v>
      </c>
      <c r="U186">
        <v>0</v>
      </c>
      <c r="V186" t="s">
        <v>35</v>
      </c>
      <c r="W186" t="s">
        <v>36</v>
      </c>
      <c r="X186" t="s">
        <v>37</v>
      </c>
      <c r="Y186" t="s">
        <v>38</v>
      </c>
      <c r="Z186">
        <v>4.5999999999999996</v>
      </c>
    </row>
    <row r="187" spans="1:26" x14ac:dyDescent="0.3">
      <c r="A187" t="s">
        <v>308</v>
      </c>
      <c r="B187" s="1">
        <v>46097</v>
      </c>
      <c r="C187" s="1">
        <v>46097</v>
      </c>
      <c r="D187" s="1">
        <v>46100</v>
      </c>
      <c r="E187" t="s">
        <v>82</v>
      </c>
      <c r="F187" t="s">
        <v>83</v>
      </c>
      <c r="G187" t="s">
        <v>84</v>
      </c>
      <c r="H187">
        <v>416</v>
      </c>
      <c r="I187" t="s">
        <v>60</v>
      </c>
      <c r="J187">
        <v>8</v>
      </c>
      <c r="K187">
        <v>3744</v>
      </c>
      <c r="L187">
        <v>7</v>
      </c>
      <c r="M187" t="s">
        <v>114</v>
      </c>
      <c r="N187">
        <v>2</v>
      </c>
      <c r="O187">
        <v>4.0999999999999996</v>
      </c>
      <c r="P187" t="s">
        <v>45</v>
      </c>
      <c r="Q187" t="s">
        <v>62</v>
      </c>
      <c r="R187" t="s">
        <v>34</v>
      </c>
      <c r="S187">
        <v>1</v>
      </c>
      <c r="T187">
        <v>3</v>
      </c>
      <c r="U187">
        <v>2</v>
      </c>
      <c r="V187" t="s">
        <v>46</v>
      </c>
      <c r="W187" t="s">
        <v>36</v>
      </c>
      <c r="X187" t="s">
        <v>63</v>
      </c>
      <c r="Y187" t="s">
        <v>38</v>
      </c>
      <c r="Z187">
        <v>4.5999999999999996</v>
      </c>
    </row>
    <row r="188" spans="1:26" x14ac:dyDescent="0.3">
      <c r="A188" t="s">
        <v>309</v>
      </c>
      <c r="B188" s="1">
        <v>46061</v>
      </c>
      <c r="C188" s="1">
        <v>46063</v>
      </c>
      <c r="D188" s="1">
        <v>46065</v>
      </c>
      <c r="E188" t="s">
        <v>27</v>
      </c>
      <c r="F188" t="s">
        <v>28</v>
      </c>
      <c r="G188" t="s">
        <v>29</v>
      </c>
      <c r="H188">
        <v>640</v>
      </c>
      <c r="I188" t="s">
        <v>30</v>
      </c>
      <c r="J188">
        <v>3</v>
      </c>
      <c r="K188">
        <v>3840</v>
      </c>
      <c r="L188">
        <v>10</v>
      </c>
      <c r="M188" t="s">
        <v>125</v>
      </c>
      <c r="N188">
        <v>6</v>
      </c>
      <c r="O188">
        <v>3.8</v>
      </c>
      <c r="P188" t="s">
        <v>32</v>
      </c>
      <c r="Q188" t="s">
        <v>33</v>
      </c>
      <c r="R188" t="s">
        <v>34</v>
      </c>
      <c r="S188">
        <v>1</v>
      </c>
      <c r="T188">
        <v>2</v>
      </c>
      <c r="U188">
        <v>1</v>
      </c>
      <c r="V188" t="s">
        <v>46</v>
      </c>
      <c r="W188" t="s">
        <v>36</v>
      </c>
      <c r="X188" t="s">
        <v>95</v>
      </c>
      <c r="Y188" t="s">
        <v>62</v>
      </c>
      <c r="Z188">
        <v>4.0999999999999996</v>
      </c>
    </row>
    <row r="189" spans="1:26" x14ac:dyDescent="0.3">
      <c r="A189" t="s">
        <v>310</v>
      </c>
      <c r="B189" s="1">
        <v>46093</v>
      </c>
      <c r="C189" s="1">
        <v>46093</v>
      </c>
      <c r="D189" s="1">
        <v>46096</v>
      </c>
      <c r="E189" t="s">
        <v>72</v>
      </c>
      <c r="F189" t="s">
        <v>73</v>
      </c>
      <c r="G189" t="s">
        <v>74</v>
      </c>
      <c r="H189">
        <v>1146</v>
      </c>
      <c r="I189" t="s">
        <v>87</v>
      </c>
      <c r="J189">
        <v>3</v>
      </c>
      <c r="K189">
        <v>6876</v>
      </c>
      <c r="L189">
        <v>5</v>
      </c>
      <c r="M189" t="s">
        <v>208</v>
      </c>
      <c r="N189">
        <v>14</v>
      </c>
      <c r="O189">
        <v>4.5999999999999996</v>
      </c>
      <c r="P189" t="s">
        <v>45</v>
      </c>
      <c r="Q189" t="s">
        <v>38</v>
      </c>
      <c r="R189" t="s">
        <v>67</v>
      </c>
      <c r="S189">
        <v>2</v>
      </c>
      <c r="T189">
        <v>3</v>
      </c>
      <c r="U189">
        <v>1</v>
      </c>
      <c r="V189" t="s">
        <v>46</v>
      </c>
      <c r="W189" t="s">
        <v>55</v>
      </c>
      <c r="X189" t="s">
        <v>63</v>
      </c>
      <c r="Y189" t="s">
        <v>33</v>
      </c>
      <c r="Z189">
        <v>4.2</v>
      </c>
    </row>
    <row r="190" spans="1:26" x14ac:dyDescent="0.3">
      <c r="A190" t="s">
        <v>311</v>
      </c>
      <c r="B190" s="1">
        <v>46140</v>
      </c>
      <c r="C190" s="1">
        <v>46140</v>
      </c>
      <c r="D190" s="1">
        <v>46141</v>
      </c>
      <c r="E190" t="s">
        <v>27</v>
      </c>
      <c r="F190" t="s">
        <v>28</v>
      </c>
      <c r="G190" t="s">
        <v>29</v>
      </c>
      <c r="H190">
        <v>332</v>
      </c>
      <c r="I190" t="s">
        <v>60</v>
      </c>
      <c r="J190">
        <v>8</v>
      </c>
      <c r="K190">
        <v>3984</v>
      </c>
      <c r="L190">
        <v>6</v>
      </c>
      <c r="M190" t="s">
        <v>109</v>
      </c>
      <c r="N190">
        <v>15</v>
      </c>
      <c r="O190">
        <v>4.7</v>
      </c>
      <c r="P190" t="s">
        <v>66</v>
      </c>
      <c r="Q190" t="s">
        <v>38</v>
      </c>
      <c r="R190" t="s">
        <v>67</v>
      </c>
      <c r="S190">
        <v>1</v>
      </c>
      <c r="T190">
        <v>1</v>
      </c>
      <c r="U190">
        <v>0</v>
      </c>
      <c r="V190" t="s">
        <v>35</v>
      </c>
      <c r="W190" t="s">
        <v>36</v>
      </c>
      <c r="X190" t="s">
        <v>76</v>
      </c>
      <c r="Y190" t="s">
        <v>62</v>
      </c>
      <c r="Z190">
        <v>4.5999999999999996</v>
      </c>
    </row>
    <row r="191" spans="1:26" x14ac:dyDescent="0.3">
      <c r="A191" t="s">
        <v>312</v>
      </c>
      <c r="B191" s="1">
        <v>46073</v>
      </c>
      <c r="C191" s="1">
        <v>46074</v>
      </c>
      <c r="D191" s="1">
        <v>46080</v>
      </c>
      <c r="E191" t="s">
        <v>27</v>
      </c>
      <c r="F191" t="s">
        <v>28</v>
      </c>
      <c r="G191" t="s">
        <v>29</v>
      </c>
      <c r="H191">
        <v>983</v>
      </c>
      <c r="I191" t="s">
        <v>43</v>
      </c>
      <c r="J191">
        <v>3</v>
      </c>
      <c r="K191">
        <v>7864</v>
      </c>
      <c r="L191">
        <v>6</v>
      </c>
      <c r="M191" t="s">
        <v>283</v>
      </c>
      <c r="N191">
        <v>5</v>
      </c>
      <c r="O191">
        <v>3.6</v>
      </c>
      <c r="P191" t="s">
        <v>45</v>
      </c>
      <c r="Q191" t="s">
        <v>38</v>
      </c>
      <c r="R191" t="s">
        <v>54</v>
      </c>
      <c r="S191">
        <v>2</v>
      </c>
      <c r="T191">
        <v>6</v>
      </c>
      <c r="U191">
        <v>4</v>
      </c>
      <c r="V191" t="s">
        <v>46</v>
      </c>
      <c r="W191" t="s">
        <v>36</v>
      </c>
      <c r="X191" t="s">
        <v>47</v>
      </c>
      <c r="Y191" t="s">
        <v>62</v>
      </c>
      <c r="Z191">
        <v>3.8</v>
      </c>
    </row>
    <row r="192" spans="1:26" x14ac:dyDescent="0.3">
      <c r="A192" t="s">
        <v>313</v>
      </c>
      <c r="B192" s="1">
        <v>46093</v>
      </c>
      <c r="C192" s="1">
        <v>46094</v>
      </c>
      <c r="D192" s="1">
        <v>46097</v>
      </c>
      <c r="E192" t="s">
        <v>27</v>
      </c>
      <c r="F192" t="s">
        <v>28</v>
      </c>
      <c r="G192" t="s">
        <v>29</v>
      </c>
      <c r="H192">
        <v>379</v>
      </c>
      <c r="I192" t="s">
        <v>30</v>
      </c>
      <c r="J192">
        <v>7</v>
      </c>
      <c r="K192">
        <v>2653</v>
      </c>
      <c r="L192">
        <v>8</v>
      </c>
      <c r="M192" t="s">
        <v>160</v>
      </c>
      <c r="N192">
        <v>11</v>
      </c>
      <c r="O192">
        <v>4.8</v>
      </c>
      <c r="P192" t="s">
        <v>45</v>
      </c>
      <c r="Q192" t="s">
        <v>33</v>
      </c>
      <c r="R192" t="s">
        <v>54</v>
      </c>
      <c r="S192">
        <v>1</v>
      </c>
      <c r="T192">
        <v>3</v>
      </c>
      <c r="U192">
        <v>2</v>
      </c>
      <c r="V192" t="s">
        <v>46</v>
      </c>
      <c r="W192" t="s">
        <v>68</v>
      </c>
      <c r="X192" t="s">
        <v>76</v>
      </c>
      <c r="Y192" t="s">
        <v>62</v>
      </c>
      <c r="Z192">
        <v>3.7</v>
      </c>
    </row>
    <row r="193" spans="1:26" x14ac:dyDescent="0.3">
      <c r="A193" t="s">
        <v>314</v>
      </c>
      <c r="B193" s="1">
        <v>46095</v>
      </c>
      <c r="C193" s="1">
        <v>46097</v>
      </c>
      <c r="D193" s="1">
        <v>46101</v>
      </c>
      <c r="E193" t="s">
        <v>49</v>
      </c>
      <c r="F193" t="s">
        <v>50</v>
      </c>
      <c r="G193" t="s">
        <v>51</v>
      </c>
      <c r="H193">
        <v>995</v>
      </c>
      <c r="I193" t="s">
        <v>30</v>
      </c>
      <c r="J193">
        <v>3</v>
      </c>
      <c r="K193">
        <v>5970</v>
      </c>
      <c r="L193">
        <v>7</v>
      </c>
      <c r="M193" t="s">
        <v>269</v>
      </c>
      <c r="N193">
        <v>4</v>
      </c>
      <c r="O193">
        <v>3.1</v>
      </c>
      <c r="P193" t="s">
        <v>66</v>
      </c>
      <c r="Q193" t="s">
        <v>38</v>
      </c>
      <c r="R193" t="s">
        <v>34</v>
      </c>
      <c r="S193">
        <v>2</v>
      </c>
      <c r="T193">
        <v>4</v>
      </c>
      <c r="U193">
        <v>2</v>
      </c>
      <c r="V193" t="s">
        <v>46</v>
      </c>
      <c r="W193" t="s">
        <v>55</v>
      </c>
      <c r="X193" t="s">
        <v>37</v>
      </c>
      <c r="Y193" t="s">
        <v>38</v>
      </c>
      <c r="Z193">
        <v>3.2</v>
      </c>
    </row>
    <row r="194" spans="1:26" x14ac:dyDescent="0.3">
      <c r="A194" t="s">
        <v>315</v>
      </c>
      <c r="B194" s="1">
        <v>46107</v>
      </c>
      <c r="C194" s="1">
        <v>46107</v>
      </c>
      <c r="D194" s="1">
        <v>46111</v>
      </c>
      <c r="E194" t="s">
        <v>57</v>
      </c>
      <c r="F194" t="s">
        <v>58</v>
      </c>
      <c r="G194" t="s">
        <v>59</v>
      </c>
      <c r="H194">
        <v>1292</v>
      </c>
      <c r="I194" t="s">
        <v>87</v>
      </c>
      <c r="J194">
        <v>4</v>
      </c>
      <c r="K194">
        <v>12920</v>
      </c>
      <c r="L194">
        <v>8</v>
      </c>
      <c r="M194" t="s">
        <v>178</v>
      </c>
      <c r="N194">
        <v>15</v>
      </c>
      <c r="O194">
        <v>4.7</v>
      </c>
      <c r="P194" t="s">
        <v>45</v>
      </c>
      <c r="Q194" t="s">
        <v>38</v>
      </c>
      <c r="R194" t="s">
        <v>67</v>
      </c>
      <c r="S194">
        <v>2</v>
      </c>
      <c r="T194">
        <v>4</v>
      </c>
      <c r="U194">
        <v>2</v>
      </c>
      <c r="V194" t="s">
        <v>46</v>
      </c>
      <c r="W194" t="s">
        <v>55</v>
      </c>
      <c r="X194" t="s">
        <v>47</v>
      </c>
      <c r="Y194" t="s">
        <v>33</v>
      </c>
      <c r="Z194">
        <v>3.1</v>
      </c>
    </row>
    <row r="195" spans="1:26" x14ac:dyDescent="0.3">
      <c r="A195" t="s">
        <v>316</v>
      </c>
      <c r="B195" s="1">
        <v>46112</v>
      </c>
      <c r="C195" s="1">
        <v>46113</v>
      </c>
      <c r="D195" s="1">
        <v>46117</v>
      </c>
      <c r="E195" t="s">
        <v>82</v>
      </c>
      <c r="F195" t="s">
        <v>83</v>
      </c>
      <c r="G195" t="s">
        <v>84</v>
      </c>
      <c r="H195">
        <v>1353</v>
      </c>
      <c r="I195" t="s">
        <v>60</v>
      </c>
      <c r="J195">
        <v>8</v>
      </c>
      <c r="K195">
        <v>13530</v>
      </c>
      <c r="L195">
        <v>7</v>
      </c>
      <c r="M195" t="s">
        <v>283</v>
      </c>
      <c r="N195">
        <v>8</v>
      </c>
      <c r="O195">
        <v>3.1</v>
      </c>
      <c r="P195" t="s">
        <v>32</v>
      </c>
      <c r="Q195" t="s">
        <v>38</v>
      </c>
      <c r="R195" t="s">
        <v>54</v>
      </c>
      <c r="S195">
        <v>3</v>
      </c>
      <c r="T195">
        <v>4</v>
      </c>
      <c r="U195">
        <v>1</v>
      </c>
      <c r="V195" t="s">
        <v>46</v>
      </c>
      <c r="W195" t="s">
        <v>36</v>
      </c>
      <c r="X195" t="s">
        <v>76</v>
      </c>
      <c r="Y195" t="s">
        <v>62</v>
      </c>
      <c r="Z195">
        <v>3</v>
      </c>
    </row>
    <row r="196" spans="1:26" x14ac:dyDescent="0.3">
      <c r="A196" t="s">
        <v>317</v>
      </c>
      <c r="B196" s="1">
        <v>46140</v>
      </c>
      <c r="C196" s="1">
        <v>46142</v>
      </c>
      <c r="D196" s="1">
        <v>46143</v>
      </c>
      <c r="E196" t="s">
        <v>40</v>
      </c>
      <c r="F196" t="s">
        <v>41</v>
      </c>
      <c r="G196" t="s">
        <v>42</v>
      </c>
      <c r="H196">
        <v>467</v>
      </c>
      <c r="I196" t="s">
        <v>30</v>
      </c>
      <c r="J196">
        <v>3</v>
      </c>
      <c r="K196">
        <v>5604</v>
      </c>
      <c r="L196">
        <v>7</v>
      </c>
      <c r="M196" t="s">
        <v>208</v>
      </c>
      <c r="N196">
        <v>1</v>
      </c>
      <c r="O196">
        <v>3.3</v>
      </c>
      <c r="P196" t="s">
        <v>45</v>
      </c>
      <c r="Q196" t="s">
        <v>38</v>
      </c>
      <c r="R196" t="s">
        <v>54</v>
      </c>
      <c r="S196">
        <v>1</v>
      </c>
      <c r="T196">
        <v>1</v>
      </c>
      <c r="U196">
        <v>0</v>
      </c>
      <c r="V196" t="s">
        <v>35</v>
      </c>
      <c r="W196" t="s">
        <v>68</v>
      </c>
      <c r="X196" t="s">
        <v>95</v>
      </c>
      <c r="Y196" t="s">
        <v>33</v>
      </c>
      <c r="Z196">
        <v>3.2</v>
      </c>
    </row>
    <row r="197" spans="1:26" x14ac:dyDescent="0.3">
      <c r="A197" t="s">
        <v>318</v>
      </c>
      <c r="B197" s="1">
        <v>46061</v>
      </c>
      <c r="C197" s="1">
        <v>46062</v>
      </c>
      <c r="D197" s="1">
        <v>46064</v>
      </c>
      <c r="E197" t="s">
        <v>82</v>
      </c>
      <c r="F197" t="s">
        <v>83</v>
      </c>
      <c r="G197" t="s">
        <v>84</v>
      </c>
      <c r="H197">
        <v>522</v>
      </c>
      <c r="I197" t="s">
        <v>43</v>
      </c>
      <c r="J197">
        <v>8</v>
      </c>
      <c r="K197">
        <v>5742</v>
      </c>
      <c r="L197">
        <v>7</v>
      </c>
      <c r="M197" t="s">
        <v>283</v>
      </c>
      <c r="N197">
        <v>12</v>
      </c>
      <c r="O197">
        <v>4.9000000000000004</v>
      </c>
      <c r="P197" t="s">
        <v>66</v>
      </c>
      <c r="Q197" t="s">
        <v>38</v>
      </c>
      <c r="R197" t="s">
        <v>54</v>
      </c>
      <c r="S197">
        <v>1</v>
      </c>
      <c r="T197">
        <v>2</v>
      </c>
      <c r="U197">
        <v>1</v>
      </c>
      <c r="V197" t="s">
        <v>46</v>
      </c>
      <c r="W197" t="s">
        <v>68</v>
      </c>
      <c r="X197" t="s">
        <v>47</v>
      </c>
      <c r="Y197" t="s">
        <v>33</v>
      </c>
      <c r="Z197">
        <v>4.4000000000000004</v>
      </c>
    </row>
    <row r="198" spans="1:26" x14ac:dyDescent="0.3">
      <c r="A198" t="s">
        <v>319</v>
      </c>
      <c r="B198" s="1">
        <v>46039</v>
      </c>
      <c r="C198" s="1">
        <v>46039</v>
      </c>
      <c r="D198" s="1">
        <v>46043</v>
      </c>
      <c r="E198" t="s">
        <v>27</v>
      </c>
      <c r="F198" t="s">
        <v>28</v>
      </c>
      <c r="G198" t="s">
        <v>29</v>
      </c>
      <c r="H198">
        <v>1637</v>
      </c>
      <c r="I198" t="s">
        <v>43</v>
      </c>
      <c r="J198">
        <v>10</v>
      </c>
      <c r="K198">
        <v>9822</v>
      </c>
      <c r="L198">
        <v>6</v>
      </c>
      <c r="M198" t="s">
        <v>269</v>
      </c>
      <c r="N198">
        <v>6</v>
      </c>
      <c r="O198">
        <v>4.8</v>
      </c>
      <c r="P198" t="s">
        <v>45</v>
      </c>
      <c r="Q198" t="s">
        <v>33</v>
      </c>
      <c r="R198" t="s">
        <v>54</v>
      </c>
      <c r="S198">
        <v>3</v>
      </c>
      <c r="T198">
        <v>4</v>
      </c>
      <c r="U198">
        <v>1</v>
      </c>
      <c r="V198" t="s">
        <v>46</v>
      </c>
      <c r="W198" t="s">
        <v>68</v>
      </c>
      <c r="X198" t="s">
        <v>63</v>
      </c>
      <c r="Y198" t="s">
        <v>38</v>
      </c>
      <c r="Z198">
        <v>3.7</v>
      </c>
    </row>
    <row r="199" spans="1:26" x14ac:dyDescent="0.3">
      <c r="A199" t="s">
        <v>320</v>
      </c>
      <c r="B199" s="1">
        <v>46063</v>
      </c>
      <c r="C199" s="1">
        <v>46063</v>
      </c>
      <c r="D199" s="1">
        <v>46066</v>
      </c>
      <c r="E199" t="s">
        <v>72</v>
      </c>
      <c r="F199" t="s">
        <v>73</v>
      </c>
      <c r="G199" t="s">
        <v>74</v>
      </c>
      <c r="H199">
        <v>1651</v>
      </c>
      <c r="I199" t="s">
        <v>30</v>
      </c>
      <c r="J199">
        <v>8</v>
      </c>
      <c r="K199">
        <v>9906</v>
      </c>
      <c r="L199">
        <v>7</v>
      </c>
      <c r="M199" t="s">
        <v>90</v>
      </c>
      <c r="N199">
        <v>4</v>
      </c>
      <c r="O199">
        <v>4.4000000000000004</v>
      </c>
      <c r="P199" t="s">
        <v>66</v>
      </c>
      <c r="Q199" t="s">
        <v>62</v>
      </c>
      <c r="R199" t="s">
        <v>67</v>
      </c>
      <c r="S199">
        <v>3</v>
      </c>
      <c r="T199">
        <v>3</v>
      </c>
      <c r="U199">
        <v>0</v>
      </c>
      <c r="V199" t="s">
        <v>35</v>
      </c>
      <c r="W199" t="s">
        <v>36</v>
      </c>
      <c r="X199" t="s">
        <v>95</v>
      </c>
      <c r="Y199" t="s">
        <v>62</v>
      </c>
      <c r="Z199">
        <v>4.5</v>
      </c>
    </row>
    <row r="200" spans="1:26" x14ac:dyDescent="0.3">
      <c r="A200" t="s">
        <v>321</v>
      </c>
      <c r="B200" s="1">
        <v>46044</v>
      </c>
      <c r="C200" s="1">
        <v>46045</v>
      </c>
      <c r="D200" s="1">
        <v>46047</v>
      </c>
      <c r="E200" t="s">
        <v>92</v>
      </c>
      <c r="F200" t="s">
        <v>93</v>
      </c>
      <c r="G200" t="s">
        <v>94</v>
      </c>
      <c r="H200">
        <v>975</v>
      </c>
      <c r="I200" t="s">
        <v>30</v>
      </c>
      <c r="J200">
        <v>9</v>
      </c>
      <c r="K200">
        <v>8775</v>
      </c>
      <c r="L200">
        <v>5</v>
      </c>
      <c r="M200" t="s">
        <v>116</v>
      </c>
      <c r="N200">
        <v>13</v>
      </c>
      <c r="O200">
        <v>4.7</v>
      </c>
      <c r="P200" t="s">
        <v>45</v>
      </c>
      <c r="Q200" t="s">
        <v>38</v>
      </c>
      <c r="R200" t="s">
        <v>34</v>
      </c>
      <c r="S200">
        <v>2</v>
      </c>
      <c r="T200">
        <v>2</v>
      </c>
      <c r="U200">
        <v>0</v>
      </c>
      <c r="V200" t="s">
        <v>35</v>
      </c>
      <c r="W200" t="s">
        <v>68</v>
      </c>
      <c r="X200" t="s">
        <v>63</v>
      </c>
      <c r="Y200" t="s">
        <v>62</v>
      </c>
      <c r="Z200">
        <v>3.5</v>
      </c>
    </row>
    <row r="201" spans="1:26" x14ac:dyDescent="0.3">
      <c r="A201" t="s">
        <v>322</v>
      </c>
      <c r="B201" s="1">
        <v>46036</v>
      </c>
      <c r="C201" s="1">
        <v>46036</v>
      </c>
      <c r="D201" s="1">
        <v>46037</v>
      </c>
      <c r="E201" t="s">
        <v>49</v>
      </c>
      <c r="F201" t="s">
        <v>50</v>
      </c>
      <c r="G201" t="s">
        <v>51</v>
      </c>
      <c r="H201">
        <v>548</v>
      </c>
      <c r="I201" t="s">
        <v>43</v>
      </c>
      <c r="J201">
        <v>3</v>
      </c>
      <c r="K201">
        <v>6028</v>
      </c>
      <c r="L201">
        <v>5</v>
      </c>
      <c r="M201" t="s">
        <v>88</v>
      </c>
      <c r="N201">
        <v>15</v>
      </c>
      <c r="O201">
        <v>5</v>
      </c>
      <c r="P201" t="s">
        <v>66</v>
      </c>
      <c r="Q201" t="s">
        <v>33</v>
      </c>
      <c r="R201" t="s">
        <v>54</v>
      </c>
      <c r="S201">
        <v>1</v>
      </c>
      <c r="T201">
        <v>1</v>
      </c>
      <c r="U201">
        <v>0</v>
      </c>
      <c r="V201" t="s">
        <v>35</v>
      </c>
      <c r="W201" t="s">
        <v>68</v>
      </c>
      <c r="X201" t="s">
        <v>37</v>
      </c>
      <c r="Y201" t="s">
        <v>33</v>
      </c>
      <c r="Z201">
        <v>4.8</v>
      </c>
    </row>
    <row r="202" spans="1:26" x14ac:dyDescent="0.3">
      <c r="A202" t="s">
        <v>323</v>
      </c>
      <c r="B202" s="1">
        <v>46043</v>
      </c>
      <c r="C202" s="1">
        <v>46043</v>
      </c>
      <c r="D202" s="1">
        <v>46044</v>
      </c>
      <c r="E202" t="s">
        <v>72</v>
      </c>
      <c r="F202" t="s">
        <v>73</v>
      </c>
      <c r="G202" t="s">
        <v>74</v>
      </c>
      <c r="H202">
        <v>878</v>
      </c>
      <c r="I202" t="s">
        <v>60</v>
      </c>
      <c r="J202">
        <v>4</v>
      </c>
      <c r="K202">
        <v>7902</v>
      </c>
      <c r="L202">
        <v>10</v>
      </c>
      <c r="M202" t="s">
        <v>88</v>
      </c>
      <c r="N202">
        <v>12</v>
      </c>
      <c r="O202">
        <v>4.9000000000000004</v>
      </c>
      <c r="P202" t="s">
        <v>66</v>
      </c>
      <c r="Q202" t="s">
        <v>33</v>
      </c>
      <c r="R202" t="s">
        <v>34</v>
      </c>
      <c r="S202">
        <v>1</v>
      </c>
      <c r="T202">
        <v>1</v>
      </c>
      <c r="U202">
        <v>0</v>
      </c>
      <c r="V202" t="s">
        <v>35</v>
      </c>
      <c r="W202" t="s">
        <v>36</v>
      </c>
      <c r="X202" t="s">
        <v>95</v>
      </c>
      <c r="Y202" t="s">
        <v>33</v>
      </c>
      <c r="Z202">
        <v>4.0999999999999996</v>
      </c>
    </row>
    <row r="203" spans="1:26" x14ac:dyDescent="0.3">
      <c r="A203" t="s">
        <v>324</v>
      </c>
      <c r="B203" s="1">
        <v>46085</v>
      </c>
      <c r="C203" s="1">
        <v>46085</v>
      </c>
      <c r="D203" s="1">
        <v>46087</v>
      </c>
      <c r="E203" t="s">
        <v>27</v>
      </c>
      <c r="F203" t="s">
        <v>28</v>
      </c>
      <c r="G203" t="s">
        <v>29</v>
      </c>
      <c r="H203">
        <v>938</v>
      </c>
      <c r="I203" t="s">
        <v>87</v>
      </c>
      <c r="J203">
        <v>7</v>
      </c>
      <c r="K203">
        <v>5628</v>
      </c>
      <c r="L203">
        <v>7</v>
      </c>
      <c r="M203" t="s">
        <v>103</v>
      </c>
      <c r="N203">
        <v>11</v>
      </c>
      <c r="O203">
        <v>4.2</v>
      </c>
      <c r="P203" t="s">
        <v>45</v>
      </c>
      <c r="Q203" t="s">
        <v>38</v>
      </c>
      <c r="R203" t="s">
        <v>67</v>
      </c>
      <c r="S203">
        <v>2</v>
      </c>
      <c r="T203">
        <v>2</v>
      </c>
      <c r="U203">
        <v>0</v>
      </c>
      <c r="V203" t="s">
        <v>35</v>
      </c>
      <c r="W203" t="s">
        <v>55</v>
      </c>
      <c r="X203" t="s">
        <v>47</v>
      </c>
      <c r="Y203" t="s">
        <v>38</v>
      </c>
      <c r="Z203">
        <v>3.9</v>
      </c>
    </row>
    <row r="204" spans="1:26" x14ac:dyDescent="0.3">
      <c r="A204" t="s">
        <v>325</v>
      </c>
      <c r="B204" s="1">
        <v>46037</v>
      </c>
      <c r="C204" s="1">
        <v>46038</v>
      </c>
      <c r="D204" s="1">
        <v>46040</v>
      </c>
      <c r="E204" t="s">
        <v>111</v>
      </c>
      <c r="F204" t="s">
        <v>27</v>
      </c>
      <c r="G204" t="s">
        <v>112</v>
      </c>
      <c r="H204">
        <v>1164</v>
      </c>
      <c r="I204" t="s">
        <v>43</v>
      </c>
      <c r="J204">
        <v>5</v>
      </c>
      <c r="K204">
        <v>6984</v>
      </c>
      <c r="L204">
        <v>10</v>
      </c>
      <c r="M204" t="s">
        <v>52</v>
      </c>
      <c r="N204">
        <v>7</v>
      </c>
      <c r="O204">
        <v>3.4</v>
      </c>
      <c r="P204" t="s">
        <v>53</v>
      </c>
      <c r="Q204" t="s">
        <v>62</v>
      </c>
      <c r="R204" t="s">
        <v>67</v>
      </c>
      <c r="S204">
        <v>2</v>
      </c>
      <c r="T204">
        <v>2</v>
      </c>
      <c r="U204">
        <v>0</v>
      </c>
      <c r="V204" t="s">
        <v>35</v>
      </c>
      <c r="W204" t="s">
        <v>68</v>
      </c>
      <c r="X204" t="s">
        <v>95</v>
      </c>
      <c r="Y204" t="s">
        <v>62</v>
      </c>
      <c r="Z204">
        <v>3.5</v>
      </c>
    </row>
    <row r="205" spans="1:26" x14ac:dyDescent="0.3">
      <c r="A205" t="s">
        <v>326</v>
      </c>
      <c r="B205" s="1">
        <v>46130</v>
      </c>
      <c r="C205" s="1">
        <v>46131</v>
      </c>
      <c r="D205" s="1">
        <v>46135</v>
      </c>
      <c r="E205" t="s">
        <v>27</v>
      </c>
      <c r="F205" t="s">
        <v>28</v>
      </c>
      <c r="G205" t="s">
        <v>29</v>
      </c>
      <c r="H205">
        <v>509</v>
      </c>
      <c r="I205" t="s">
        <v>87</v>
      </c>
      <c r="J205">
        <v>2</v>
      </c>
      <c r="K205">
        <v>5599</v>
      </c>
      <c r="L205">
        <v>7</v>
      </c>
      <c r="M205" t="s">
        <v>52</v>
      </c>
      <c r="N205">
        <v>7</v>
      </c>
      <c r="O205">
        <v>4.9000000000000004</v>
      </c>
      <c r="P205" t="s">
        <v>45</v>
      </c>
      <c r="Q205" t="s">
        <v>33</v>
      </c>
      <c r="R205" t="s">
        <v>67</v>
      </c>
      <c r="S205">
        <v>1</v>
      </c>
      <c r="T205">
        <v>4</v>
      </c>
      <c r="U205">
        <v>3</v>
      </c>
      <c r="V205" t="s">
        <v>46</v>
      </c>
      <c r="W205" t="s">
        <v>55</v>
      </c>
      <c r="X205" t="s">
        <v>95</v>
      </c>
      <c r="Y205" t="s">
        <v>33</v>
      </c>
      <c r="Z205">
        <v>4.8</v>
      </c>
    </row>
    <row r="206" spans="1:26" x14ac:dyDescent="0.3">
      <c r="A206" t="s">
        <v>327</v>
      </c>
      <c r="B206" s="1">
        <v>46083</v>
      </c>
      <c r="C206" s="1">
        <v>46084</v>
      </c>
      <c r="D206" s="1">
        <v>46086</v>
      </c>
      <c r="E206" t="s">
        <v>72</v>
      </c>
      <c r="F206" t="s">
        <v>73</v>
      </c>
      <c r="G206" t="s">
        <v>74</v>
      </c>
      <c r="H206">
        <v>1008</v>
      </c>
      <c r="I206" t="s">
        <v>87</v>
      </c>
      <c r="J206">
        <v>9</v>
      </c>
      <c r="K206">
        <v>10080</v>
      </c>
      <c r="L206">
        <v>9</v>
      </c>
      <c r="M206" t="s">
        <v>105</v>
      </c>
      <c r="N206">
        <v>11</v>
      </c>
      <c r="O206">
        <v>5</v>
      </c>
      <c r="P206" t="s">
        <v>45</v>
      </c>
      <c r="Q206" t="s">
        <v>38</v>
      </c>
      <c r="R206" t="s">
        <v>34</v>
      </c>
      <c r="S206">
        <v>2</v>
      </c>
      <c r="T206">
        <v>2</v>
      </c>
      <c r="U206">
        <v>0</v>
      </c>
      <c r="V206" t="s">
        <v>35</v>
      </c>
      <c r="W206" t="s">
        <v>36</v>
      </c>
      <c r="X206" t="s">
        <v>37</v>
      </c>
      <c r="Y206" t="s">
        <v>38</v>
      </c>
      <c r="Z206">
        <v>3.1</v>
      </c>
    </row>
    <row r="207" spans="1:26" x14ac:dyDescent="0.3">
      <c r="A207" t="s">
        <v>328</v>
      </c>
      <c r="B207" s="1">
        <v>46033</v>
      </c>
      <c r="C207" s="1">
        <v>46035</v>
      </c>
      <c r="D207" s="1">
        <v>46039</v>
      </c>
      <c r="E207" t="s">
        <v>111</v>
      </c>
      <c r="F207" t="s">
        <v>27</v>
      </c>
      <c r="G207" t="s">
        <v>112</v>
      </c>
      <c r="H207">
        <v>613</v>
      </c>
      <c r="I207" t="s">
        <v>60</v>
      </c>
      <c r="J207">
        <v>10</v>
      </c>
      <c r="K207">
        <v>4904</v>
      </c>
      <c r="L207">
        <v>7</v>
      </c>
      <c r="M207" t="s">
        <v>78</v>
      </c>
      <c r="N207">
        <v>15</v>
      </c>
      <c r="O207">
        <v>4.5999999999999996</v>
      </c>
      <c r="P207" t="s">
        <v>32</v>
      </c>
      <c r="Q207" t="s">
        <v>62</v>
      </c>
      <c r="R207" t="s">
        <v>54</v>
      </c>
      <c r="S207">
        <v>1</v>
      </c>
      <c r="T207">
        <v>4</v>
      </c>
      <c r="U207">
        <v>3</v>
      </c>
      <c r="V207" t="s">
        <v>46</v>
      </c>
      <c r="W207" t="s">
        <v>55</v>
      </c>
      <c r="X207" t="s">
        <v>47</v>
      </c>
      <c r="Y207" t="s">
        <v>62</v>
      </c>
      <c r="Z207">
        <v>4</v>
      </c>
    </row>
    <row r="208" spans="1:26" x14ac:dyDescent="0.3">
      <c r="A208" t="s">
        <v>329</v>
      </c>
      <c r="B208" s="1">
        <v>46140</v>
      </c>
      <c r="C208" s="1">
        <v>46140</v>
      </c>
      <c r="D208" s="1">
        <v>46141</v>
      </c>
      <c r="E208" t="s">
        <v>111</v>
      </c>
      <c r="F208" t="s">
        <v>27</v>
      </c>
      <c r="G208" t="s">
        <v>112</v>
      </c>
      <c r="H208">
        <v>430</v>
      </c>
      <c r="I208" t="s">
        <v>43</v>
      </c>
      <c r="J208">
        <v>3</v>
      </c>
      <c r="K208">
        <v>3010</v>
      </c>
      <c r="L208">
        <v>9</v>
      </c>
      <c r="M208" t="s">
        <v>145</v>
      </c>
      <c r="N208">
        <v>10</v>
      </c>
      <c r="O208">
        <v>4.5</v>
      </c>
      <c r="P208" t="s">
        <v>32</v>
      </c>
      <c r="Q208" t="s">
        <v>38</v>
      </c>
      <c r="R208" t="s">
        <v>54</v>
      </c>
      <c r="S208">
        <v>1</v>
      </c>
      <c r="T208">
        <v>1</v>
      </c>
      <c r="U208">
        <v>0</v>
      </c>
      <c r="V208" t="s">
        <v>35</v>
      </c>
      <c r="W208" t="s">
        <v>68</v>
      </c>
      <c r="X208" t="s">
        <v>76</v>
      </c>
      <c r="Y208" t="s">
        <v>62</v>
      </c>
      <c r="Z208">
        <v>4.8</v>
      </c>
    </row>
    <row r="209" spans="1:26" x14ac:dyDescent="0.3">
      <c r="A209" t="s">
        <v>330</v>
      </c>
      <c r="B209" s="1">
        <v>46056</v>
      </c>
      <c r="C209" s="1">
        <v>46057</v>
      </c>
      <c r="D209" s="1">
        <v>46062</v>
      </c>
      <c r="E209" t="s">
        <v>92</v>
      </c>
      <c r="F209" t="s">
        <v>93</v>
      </c>
      <c r="G209" t="s">
        <v>94</v>
      </c>
      <c r="H209">
        <v>1371</v>
      </c>
      <c r="I209" t="s">
        <v>43</v>
      </c>
      <c r="J209">
        <v>1</v>
      </c>
      <c r="K209">
        <v>9597</v>
      </c>
      <c r="L209">
        <v>7</v>
      </c>
      <c r="M209" t="s">
        <v>205</v>
      </c>
      <c r="N209">
        <v>3</v>
      </c>
      <c r="O209">
        <v>4.2</v>
      </c>
      <c r="P209" t="s">
        <v>53</v>
      </c>
      <c r="Q209" t="s">
        <v>38</v>
      </c>
      <c r="R209" t="s">
        <v>34</v>
      </c>
      <c r="S209">
        <v>3</v>
      </c>
      <c r="T209">
        <v>5</v>
      </c>
      <c r="U209">
        <v>2</v>
      </c>
      <c r="V209" t="s">
        <v>46</v>
      </c>
      <c r="W209" t="s">
        <v>36</v>
      </c>
      <c r="X209" t="s">
        <v>63</v>
      </c>
      <c r="Y209" t="s">
        <v>33</v>
      </c>
      <c r="Z209">
        <v>4</v>
      </c>
    </row>
    <row r="210" spans="1:26" x14ac:dyDescent="0.3">
      <c r="A210" t="s">
        <v>331</v>
      </c>
      <c r="B210" s="1">
        <v>46057</v>
      </c>
      <c r="C210" s="1">
        <v>46058</v>
      </c>
      <c r="D210" s="1">
        <v>46062</v>
      </c>
      <c r="E210" t="s">
        <v>27</v>
      </c>
      <c r="F210" t="s">
        <v>28</v>
      </c>
      <c r="G210" t="s">
        <v>29</v>
      </c>
      <c r="H210">
        <v>891</v>
      </c>
      <c r="I210" t="s">
        <v>30</v>
      </c>
      <c r="J210">
        <v>5</v>
      </c>
      <c r="K210">
        <v>7128</v>
      </c>
      <c r="L210">
        <v>8</v>
      </c>
      <c r="M210" t="s">
        <v>65</v>
      </c>
      <c r="N210">
        <v>11</v>
      </c>
      <c r="O210">
        <v>3.2</v>
      </c>
      <c r="P210" t="s">
        <v>45</v>
      </c>
      <c r="Q210" t="s">
        <v>38</v>
      </c>
      <c r="R210" t="s">
        <v>34</v>
      </c>
      <c r="S210">
        <v>1</v>
      </c>
      <c r="T210">
        <v>4</v>
      </c>
      <c r="U210">
        <v>3</v>
      </c>
      <c r="V210" t="s">
        <v>46</v>
      </c>
      <c r="W210" t="s">
        <v>68</v>
      </c>
      <c r="X210" t="s">
        <v>47</v>
      </c>
      <c r="Y210" t="s">
        <v>33</v>
      </c>
      <c r="Z210">
        <v>3.8</v>
      </c>
    </row>
    <row r="211" spans="1:26" x14ac:dyDescent="0.3">
      <c r="A211" t="s">
        <v>332</v>
      </c>
      <c r="B211" s="1">
        <v>46105</v>
      </c>
      <c r="C211" s="1">
        <v>46105</v>
      </c>
      <c r="D211" s="1">
        <v>46108</v>
      </c>
      <c r="E211" t="s">
        <v>40</v>
      </c>
      <c r="F211" t="s">
        <v>41</v>
      </c>
      <c r="G211" t="s">
        <v>42</v>
      </c>
      <c r="H211">
        <v>1104</v>
      </c>
      <c r="I211" t="s">
        <v>60</v>
      </c>
      <c r="J211">
        <v>7</v>
      </c>
      <c r="K211">
        <v>12144</v>
      </c>
      <c r="L211">
        <v>8</v>
      </c>
      <c r="M211" t="s">
        <v>190</v>
      </c>
      <c r="N211">
        <v>9</v>
      </c>
      <c r="O211">
        <v>4.7</v>
      </c>
      <c r="P211" t="s">
        <v>32</v>
      </c>
      <c r="Q211" t="s">
        <v>33</v>
      </c>
      <c r="R211" t="s">
        <v>67</v>
      </c>
      <c r="S211">
        <v>2</v>
      </c>
      <c r="T211">
        <v>3</v>
      </c>
      <c r="U211">
        <v>1</v>
      </c>
      <c r="V211" t="s">
        <v>46</v>
      </c>
      <c r="W211" t="s">
        <v>55</v>
      </c>
      <c r="X211" t="s">
        <v>76</v>
      </c>
      <c r="Y211" t="s">
        <v>62</v>
      </c>
      <c r="Z211">
        <v>3.3</v>
      </c>
    </row>
    <row r="212" spans="1:26" x14ac:dyDescent="0.3">
      <c r="A212" t="s">
        <v>333</v>
      </c>
      <c r="B212" s="1">
        <v>46131</v>
      </c>
      <c r="C212" s="1">
        <v>46133</v>
      </c>
      <c r="D212" s="1">
        <v>46137</v>
      </c>
      <c r="E212" t="s">
        <v>27</v>
      </c>
      <c r="F212" t="s">
        <v>28</v>
      </c>
      <c r="G212" t="s">
        <v>29</v>
      </c>
      <c r="H212">
        <v>555</v>
      </c>
      <c r="I212" t="s">
        <v>60</v>
      </c>
      <c r="J212">
        <v>4</v>
      </c>
      <c r="K212">
        <v>6660</v>
      </c>
      <c r="L212">
        <v>5</v>
      </c>
      <c r="M212" t="s">
        <v>125</v>
      </c>
      <c r="N212">
        <v>1</v>
      </c>
      <c r="O212">
        <v>3.9</v>
      </c>
      <c r="P212" t="s">
        <v>66</v>
      </c>
      <c r="Q212" t="s">
        <v>33</v>
      </c>
      <c r="R212" t="s">
        <v>67</v>
      </c>
      <c r="S212">
        <v>1</v>
      </c>
      <c r="T212">
        <v>4</v>
      </c>
      <c r="U212">
        <v>3</v>
      </c>
      <c r="V212" t="s">
        <v>46</v>
      </c>
      <c r="W212" t="s">
        <v>55</v>
      </c>
      <c r="X212" t="s">
        <v>95</v>
      </c>
      <c r="Y212" t="s">
        <v>33</v>
      </c>
      <c r="Z212">
        <v>4.8</v>
      </c>
    </row>
    <row r="213" spans="1:26" x14ac:dyDescent="0.3">
      <c r="A213" t="s">
        <v>334</v>
      </c>
      <c r="B213" s="1">
        <v>46110</v>
      </c>
      <c r="C213" s="1">
        <v>46110</v>
      </c>
      <c r="D213" s="1">
        <v>46112</v>
      </c>
      <c r="E213" t="s">
        <v>40</v>
      </c>
      <c r="F213" t="s">
        <v>41</v>
      </c>
      <c r="G213" t="s">
        <v>42</v>
      </c>
      <c r="H213">
        <v>962</v>
      </c>
      <c r="I213" t="s">
        <v>43</v>
      </c>
      <c r="J213">
        <v>10</v>
      </c>
      <c r="K213">
        <v>8658</v>
      </c>
      <c r="L213">
        <v>6</v>
      </c>
      <c r="M213" t="s">
        <v>116</v>
      </c>
      <c r="N213">
        <v>10</v>
      </c>
      <c r="O213">
        <v>4.0999999999999996</v>
      </c>
      <c r="P213" t="s">
        <v>66</v>
      </c>
      <c r="Q213" t="s">
        <v>38</v>
      </c>
      <c r="R213" t="s">
        <v>34</v>
      </c>
      <c r="S213">
        <v>2</v>
      </c>
      <c r="T213">
        <v>2</v>
      </c>
      <c r="U213">
        <v>0</v>
      </c>
      <c r="V213" t="s">
        <v>35</v>
      </c>
      <c r="W213" t="s">
        <v>68</v>
      </c>
      <c r="X213" t="s">
        <v>63</v>
      </c>
      <c r="Y213" t="s">
        <v>62</v>
      </c>
      <c r="Z213">
        <v>3.1</v>
      </c>
    </row>
    <row r="214" spans="1:26" x14ac:dyDescent="0.3">
      <c r="A214" t="s">
        <v>335</v>
      </c>
      <c r="B214" s="1">
        <v>46132</v>
      </c>
      <c r="C214" s="1">
        <v>46134</v>
      </c>
      <c r="D214" s="1">
        <v>46135</v>
      </c>
      <c r="E214" t="s">
        <v>40</v>
      </c>
      <c r="F214" t="s">
        <v>41</v>
      </c>
      <c r="G214" t="s">
        <v>42</v>
      </c>
      <c r="H214">
        <v>653</v>
      </c>
      <c r="I214" t="s">
        <v>60</v>
      </c>
      <c r="J214">
        <v>4</v>
      </c>
      <c r="K214">
        <v>5224</v>
      </c>
      <c r="L214">
        <v>10</v>
      </c>
      <c r="M214" t="s">
        <v>114</v>
      </c>
      <c r="N214">
        <v>9</v>
      </c>
      <c r="O214">
        <v>3</v>
      </c>
      <c r="P214" t="s">
        <v>32</v>
      </c>
      <c r="Q214" t="s">
        <v>62</v>
      </c>
      <c r="R214" t="s">
        <v>67</v>
      </c>
      <c r="S214">
        <v>1</v>
      </c>
      <c r="T214">
        <v>1</v>
      </c>
      <c r="U214">
        <v>0</v>
      </c>
      <c r="V214" t="s">
        <v>35</v>
      </c>
      <c r="W214" t="s">
        <v>55</v>
      </c>
      <c r="X214" t="s">
        <v>63</v>
      </c>
      <c r="Y214" t="s">
        <v>38</v>
      </c>
      <c r="Z214">
        <v>3.5</v>
      </c>
    </row>
    <row r="215" spans="1:26" x14ac:dyDescent="0.3">
      <c r="A215" t="s">
        <v>336</v>
      </c>
      <c r="B215" s="1">
        <v>46126</v>
      </c>
      <c r="C215" s="1">
        <v>46127</v>
      </c>
      <c r="D215" s="1">
        <v>46131</v>
      </c>
      <c r="E215" t="s">
        <v>57</v>
      </c>
      <c r="F215" t="s">
        <v>58</v>
      </c>
      <c r="G215" t="s">
        <v>59</v>
      </c>
      <c r="H215">
        <v>1067</v>
      </c>
      <c r="I215" t="s">
        <v>43</v>
      </c>
      <c r="J215">
        <v>6</v>
      </c>
      <c r="K215">
        <v>9603</v>
      </c>
      <c r="L215">
        <v>7</v>
      </c>
      <c r="M215" t="s">
        <v>90</v>
      </c>
      <c r="N215">
        <v>8</v>
      </c>
      <c r="O215">
        <v>3.6</v>
      </c>
      <c r="P215" t="s">
        <v>53</v>
      </c>
      <c r="Q215" t="s">
        <v>33</v>
      </c>
      <c r="R215" t="s">
        <v>67</v>
      </c>
      <c r="S215">
        <v>2</v>
      </c>
      <c r="T215">
        <v>4</v>
      </c>
      <c r="U215">
        <v>2</v>
      </c>
      <c r="V215" t="s">
        <v>46</v>
      </c>
      <c r="W215" t="s">
        <v>55</v>
      </c>
      <c r="X215" t="s">
        <v>76</v>
      </c>
      <c r="Y215" t="s">
        <v>33</v>
      </c>
      <c r="Z215">
        <v>3.6</v>
      </c>
    </row>
    <row r="216" spans="1:26" x14ac:dyDescent="0.3">
      <c r="A216" t="s">
        <v>337</v>
      </c>
      <c r="B216" s="1">
        <v>46110</v>
      </c>
      <c r="C216" s="1">
        <v>46110</v>
      </c>
      <c r="D216" s="1">
        <v>46112</v>
      </c>
      <c r="E216" t="s">
        <v>92</v>
      </c>
      <c r="F216" t="s">
        <v>93</v>
      </c>
      <c r="G216" t="s">
        <v>94</v>
      </c>
      <c r="H216">
        <v>330</v>
      </c>
      <c r="I216" t="s">
        <v>30</v>
      </c>
      <c r="J216">
        <v>5</v>
      </c>
      <c r="K216">
        <v>3630</v>
      </c>
      <c r="L216">
        <v>7</v>
      </c>
      <c r="M216" t="s">
        <v>44</v>
      </c>
      <c r="N216">
        <v>5</v>
      </c>
      <c r="O216">
        <v>4.3</v>
      </c>
      <c r="P216" t="s">
        <v>66</v>
      </c>
      <c r="Q216" t="s">
        <v>38</v>
      </c>
      <c r="R216" t="s">
        <v>67</v>
      </c>
      <c r="S216">
        <v>1</v>
      </c>
      <c r="T216">
        <v>2</v>
      </c>
      <c r="U216">
        <v>1</v>
      </c>
      <c r="V216" t="s">
        <v>46</v>
      </c>
      <c r="W216" t="s">
        <v>36</v>
      </c>
      <c r="X216" t="s">
        <v>76</v>
      </c>
      <c r="Y216" t="s">
        <v>62</v>
      </c>
      <c r="Z216">
        <v>4.3</v>
      </c>
    </row>
    <row r="217" spans="1:26" x14ac:dyDescent="0.3">
      <c r="A217" t="s">
        <v>338</v>
      </c>
      <c r="B217" s="1">
        <v>46110</v>
      </c>
      <c r="C217" s="1">
        <v>46110</v>
      </c>
      <c r="D217" s="1">
        <v>46114</v>
      </c>
      <c r="E217" t="s">
        <v>27</v>
      </c>
      <c r="F217" t="s">
        <v>28</v>
      </c>
      <c r="G217" t="s">
        <v>29</v>
      </c>
      <c r="H217">
        <v>1542</v>
      </c>
      <c r="I217" t="s">
        <v>43</v>
      </c>
      <c r="J217">
        <v>5</v>
      </c>
      <c r="K217">
        <v>12336</v>
      </c>
      <c r="L217">
        <v>8</v>
      </c>
      <c r="M217" t="s">
        <v>205</v>
      </c>
      <c r="N217">
        <v>7</v>
      </c>
      <c r="O217">
        <v>4.5</v>
      </c>
      <c r="P217" t="s">
        <v>45</v>
      </c>
      <c r="Q217" t="s">
        <v>62</v>
      </c>
      <c r="R217" t="s">
        <v>54</v>
      </c>
      <c r="S217">
        <v>3</v>
      </c>
      <c r="T217">
        <v>4</v>
      </c>
      <c r="U217">
        <v>1</v>
      </c>
      <c r="V217" t="s">
        <v>46</v>
      </c>
      <c r="W217" t="s">
        <v>55</v>
      </c>
      <c r="X217" t="s">
        <v>76</v>
      </c>
      <c r="Y217" t="s">
        <v>33</v>
      </c>
      <c r="Z217">
        <v>4.5999999999999996</v>
      </c>
    </row>
    <row r="218" spans="1:26" x14ac:dyDescent="0.3">
      <c r="A218" t="s">
        <v>339</v>
      </c>
      <c r="B218" s="1">
        <v>46139</v>
      </c>
      <c r="C218" s="1">
        <v>46141</v>
      </c>
      <c r="D218" s="1">
        <v>46144</v>
      </c>
      <c r="E218" t="s">
        <v>49</v>
      </c>
      <c r="F218" t="s">
        <v>50</v>
      </c>
      <c r="G218" t="s">
        <v>51</v>
      </c>
      <c r="H218">
        <v>1238</v>
      </c>
      <c r="I218" t="s">
        <v>30</v>
      </c>
      <c r="J218">
        <v>3</v>
      </c>
      <c r="K218">
        <v>14856</v>
      </c>
      <c r="L218">
        <v>10</v>
      </c>
      <c r="M218" t="s">
        <v>88</v>
      </c>
      <c r="N218">
        <v>3</v>
      </c>
      <c r="O218">
        <v>3.6</v>
      </c>
      <c r="P218" t="s">
        <v>53</v>
      </c>
      <c r="Q218" t="s">
        <v>38</v>
      </c>
      <c r="R218" t="s">
        <v>54</v>
      </c>
      <c r="S218">
        <v>2</v>
      </c>
      <c r="T218">
        <v>3</v>
      </c>
      <c r="U218">
        <v>1</v>
      </c>
      <c r="V218" t="s">
        <v>46</v>
      </c>
      <c r="W218" t="s">
        <v>55</v>
      </c>
      <c r="X218" t="s">
        <v>47</v>
      </c>
      <c r="Y218" t="s">
        <v>33</v>
      </c>
      <c r="Z218">
        <v>3.2</v>
      </c>
    </row>
    <row r="219" spans="1:26" x14ac:dyDescent="0.3">
      <c r="A219" t="s">
        <v>340</v>
      </c>
      <c r="B219" s="1">
        <v>46068</v>
      </c>
      <c r="C219" s="1">
        <v>46068</v>
      </c>
      <c r="D219" s="1">
        <v>46074</v>
      </c>
      <c r="E219" t="s">
        <v>57</v>
      </c>
      <c r="F219" t="s">
        <v>58</v>
      </c>
      <c r="G219" t="s">
        <v>59</v>
      </c>
      <c r="H219">
        <v>1061</v>
      </c>
      <c r="I219" t="s">
        <v>30</v>
      </c>
      <c r="J219">
        <v>6</v>
      </c>
      <c r="K219">
        <v>8488</v>
      </c>
      <c r="L219">
        <v>9</v>
      </c>
      <c r="M219" t="s">
        <v>99</v>
      </c>
      <c r="N219">
        <v>8</v>
      </c>
      <c r="O219">
        <v>4.7</v>
      </c>
      <c r="P219" t="s">
        <v>53</v>
      </c>
      <c r="Q219" t="s">
        <v>38</v>
      </c>
      <c r="R219" t="s">
        <v>54</v>
      </c>
      <c r="S219">
        <v>2</v>
      </c>
      <c r="T219">
        <v>6</v>
      </c>
      <c r="U219">
        <v>4</v>
      </c>
      <c r="V219" t="s">
        <v>46</v>
      </c>
      <c r="W219" t="s">
        <v>55</v>
      </c>
      <c r="X219" t="s">
        <v>63</v>
      </c>
      <c r="Y219" t="s">
        <v>62</v>
      </c>
      <c r="Z219">
        <v>4.8</v>
      </c>
    </row>
    <row r="220" spans="1:26" x14ac:dyDescent="0.3">
      <c r="A220" t="s">
        <v>341</v>
      </c>
      <c r="B220" s="1">
        <v>46087</v>
      </c>
      <c r="C220" s="1">
        <v>46087</v>
      </c>
      <c r="D220" s="1">
        <v>46090</v>
      </c>
      <c r="E220" t="s">
        <v>111</v>
      </c>
      <c r="F220" t="s">
        <v>27</v>
      </c>
      <c r="G220" t="s">
        <v>112</v>
      </c>
      <c r="H220">
        <v>1285</v>
      </c>
      <c r="I220" t="s">
        <v>30</v>
      </c>
      <c r="J220">
        <v>7</v>
      </c>
      <c r="K220">
        <v>7710</v>
      </c>
      <c r="L220">
        <v>6</v>
      </c>
      <c r="M220" t="s">
        <v>147</v>
      </c>
      <c r="N220">
        <v>4</v>
      </c>
      <c r="O220">
        <v>3.7</v>
      </c>
      <c r="P220" t="s">
        <v>53</v>
      </c>
      <c r="Q220" t="s">
        <v>38</v>
      </c>
      <c r="R220" t="s">
        <v>34</v>
      </c>
      <c r="S220">
        <v>2</v>
      </c>
      <c r="T220">
        <v>3</v>
      </c>
      <c r="U220">
        <v>1</v>
      </c>
      <c r="V220" t="s">
        <v>46</v>
      </c>
      <c r="W220" t="s">
        <v>36</v>
      </c>
      <c r="X220" t="s">
        <v>95</v>
      </c>
      <c r="Y220" t="s">
        <v>62</v>
      </c>
      <c r="Z220">
        <v>4.3</v>
      </c>
    </row>
    <row r="221" spans="1:26" x14ac:dyDescent="0.3">
      <c r="A221" t="s">
        <v>342</v>
      </c>
      <c r="B221" s="1">
        <v>46045</v>
      </c>
      <c r="C221" s="1">
        <v>46046</v>
      </c>
      <c r="D221" s="1">
        <v>46048</v>
      </c>
      <c r="E221" t="s">
        <v>27</v>
      </c>
      <c r="F221" t="s">
        <v>28</v>
      </c>
      <c r="G221" t="s">
        <v>29</v>
      </c>
      <c r="H221">
        <v>209</v>
      </c>
      <c r="I221" t="s">
        <v>43</v>
      </c>
      <c r="J221">
        <v>5</v>
      </c>
      <c r="K221">
        <v>1463</v>
      </c>
      <c r="L221">
        <v>6</v>
      </c>
      <c r="M221" t="s">
        <v>105</v>
      </c>
      <c r="N221">
        <v>13</v>
      </c>
      <c r="O221">
        <v>3.3</v>
      </c>
      <c r="P221" t="s">
        <v>32</v>
      </c>
      <c r="Q221" t="s">
        <v>38</v>
      </c>
      <c r="R221" t="s">
        <v>54</v>
      </c>
      <c r="S221">
        <v>1</v>
      </c>
      <c r="T221">
        <v>2</v>
      </c>
      <c r="U221">
        <v>1</v>
      </c>
      <c r="V221" t="s">
        <v>46</v>
      </c>
      <c r="W221" t="s">
        <v>55</v>
      </c>
      <c r="X221" t="s">
        <v>95</v>
      </c>
      <c r="Y221" t="s">
        <v>62</v>
      </c>
      <c r="Z221">
        <v>3.9</v>
      </c>
    </row>
    <row r="222" spans="1:26" x14ac:dyDescent="0.3">
      <c r="A222" t="s">
        <v>343</v>
      </c>
      <c r="B222" s="1">
        <v>46084</v>
      </c>
      <c r="C222" s="1">
        <v>46085</v>
      </c>
      <c r="D222" s="1">
        <v>46086</v>
      </c>
      <c r="E222" t="s">
        <v>27</v>
      </c>
      <c r="F222" t="s">
        <v>28</v>
      </c>
      <c r="G222" t="s">
        <v>29</v>
      </c>
      <c r="H222">
        <v>277</v>
      </c>
      <c r="I222" t="s">
        <v>60</v>
      </c>
      <c r="J222">
        <v>6</v>
      </c>
      <c r="K222">
        <v>1662</v>
      </c>
      <c r="L222">
        <v>7</v>
      </c>
      <c r="M222" t="s">
        <v>190</v>
      </c>
      <c r="N222">
        <v>14</v>
      </c>
      <c r="O222">
        <v>4.0999999999999996</v>
      </c>
      <c r="P222" t="s">
        <v>32</v>
      </c>
      <c r="Q222" t="s">
        <v>33</v>
      </c>
      <c r="R222" t="s">
        <v>67</v>
      </c>
      <c r="S222">
        <v>1</v>
      </c>
      <c r="T222">
        <v>1</v>
      </c>
      <c r="U222">
        <v>0</v>
      </c>
      <c r="V222" t="s">
        <v>35</v>
      </c>
      <c r="W222" t="s">
        <v>55</v>
      </c>
      <c r="X222" t="s">
        <v>47</v>
      </c>
      <c r="Y222" t="s">
        <v>62</v>
      </c>
      <c r="Z222">
        <v>3.3</v>
      </c>
    </row>
    <row r="223" spans="1:26" x14ac:dyDescent="0.3">
      <c r="A223" t="s">
        <v>344</v>
      </c>
      <c r="B223" s="1">
        <v>46072</v>
      </c>
      <c r="C223" s="1">
        <v>46074</v>
      </c>
      <c r="D223" s="1">
        <v>46076</v>
      </c>
      <c r="E223" t="s">
        <v>57</v>
      </c>
      <c r="F223" t="s">
        <v>58</v>
      </c>
      <c r="G223" t="s">
        <v>59</v>
      </c>
      <c r="H223">
        <v>542</v>
      </c>
      <c r="I223" t="s">
        <v>87</v>
      </c>
      <c r="J223">
        <v>1</v>
      </c>
      <c r="K223">
        <v>4336</v>
      </c>
      <c r="L223">
        <v>7</v>
      </c>
      <c r="M223" t="s">
        <v>61</v>
      </c>
      <c r="N223">
        <v>12</v>
      </c>
      <c r="O223">
        <v>4</v>
      </c>
      <c r="P223" t="s">
        <v>66</v>
      </c>
      <c r="Q223" t="s">
        <v>62</v>
      </c>
      <c r="R223" t="s">
        <v>54</v>
      </c>
      <c r="S223">
        <v>1</v>
      </c>
      <c r="T223">
        <v>2</v>
      </c>
      <c r="U223">
        <v>1</v>
      </c>
      <c r="V223" t="s">
        <v>46</v>
      </c>
      <c r="W223" t="s">
        <v>68</v>
      </c>
      <c r="X223" t="s">
        <v>47</v>
      </c>
      <c r="Y223" t="s">
        <v>38</v>
      </c>
      <c r="Z223">
        <v>3.3</v>
      </c>
    </row>
    <row r="224" spans="1:26" x14ac:dyDescent="0.3">
      <c r="A224" t="s">
        <v>345</v>
      </c>
      <c r="B224" s="1">
        <v>46139</v>
      </c>
      <c r="C224" s="1">
        <v>46140</v>
      </c>
      <c r="D224" s="1">
        <v>46143</v>
      </c>
      <c r="E224" t="s">
        <v>27</v>
      </c>
      <c r="F224" t="s">
        <v>28</v>
      </c>
      <c r="G224" t="s">
        <v>29</v>
      </c>
      <c r="H224">
        <v>667</v>
      </c>
      <c r="I224" t="s">
        <v>60</v>
      </c>
      <c r="J224">
        <v>3</v>
      </c>
      <c r="K224">
        <v>4669</v>
      </c>
      <c r="L224">
        <v>10</v>
      </c>
      <c r="M224" t="s">
        <v>135</v>
      </c>
      <c r="N224">
        <v>10</v>
      </c>
      <c r="O224">
        <v>4</v>
      </c>
      <c r="P224" t="s">
        <v>32</v>
      </c>
      <c r="Q224" t="s">
        <v>62</v>
      </c>
      <c r="R224" t="s">
        <v>54</v>
      </c>
      <c r="S224">
        <v>1</v>
      </c>
      <c r="T224">
        <v>3</v>
      </c>
      <c r="U224">
        <v>2</v>
      </c>
      <c r="V224" t="s">
        <v>46</v>
      </c>
      <c r="W224" t="s">
        <v>36</v>
      </c>
      <c r="X224" t="s">
        <v>95</v>
      </c>
      <c r="Y224" t="s">
        <v>33</v>
      </c>
      <c r="Z224">
        <v>3.5</v>
      </c>
    </row>
    <row r="225" spans="1:26" x14ac:dyDescent="0.3">
      <c r="A225" t="s">
        <v>346</v>
      </c>
      <c r="B225" s="1">
        <v>46091</v>
      </c>
      <c r="C225" s="1">
        <v>46093</v>
      </c>
      <c r="D225" s="1">
        <v>46098</v>
      </c>
      <c r="E225" t="s">
        <v>27</v>
      </c>
      <c r="F225" t="s">
        <v>28</v>
      </c>
      <c r="G225" t="s">
        <v>29</v>
      </c>
      <c r="H225">
        <v>1416</v>
      </c>
      <c r="I225" t="s">
        <v>87</v>
      </c>
      <c r="J225">
        <v>2</v>
      </c>
      <c r="K225">
        <v>15576</v>
      </c>
      <c r="L225">
        <v>5</v>
      </c>
      <c r="M225" t="s">
        <v>208</v>
      </c>
      <c r="N225">
        <v>12</v>
      </c>
      <c r="O225">
        <v>3.2</v>
      </c>
      <c r="P225" t="s">
        <v>53</v>
      </c>
      <c r="Q225" t="s">
        <v>62</v>
      </c>
      <c r="R225" t="s">
        <v>67</v>
      </c>
      <c r="S225">
        <v>3</v>
      </c>
      <c r="T225">
        <v>5</v>
      </c>
      <c r="U225">
        <v>2</v>
      </c>
      <c r="V225" t="s">
        <v>46</v>
      </c>
      <c r="W225" t="s">
        <v>68</v>
      </c>
      <c r="X225" t="s">
        <v>37</v>
      </c>
      <c r="Y225" t="s">
        <v>38</v>
      </c>
      <c r="Z225">
        <v>4.4000000000000004</v>
      </c>
    </row>
    <row r="226" spans="1:26" x14ac:dyDescent="0.3">
      <c r="A226" t="s">
        <v>347</v>
      </c>
      <c r="B226" s="1">
        <v>46103</v>
      </c>
      <c r="C226" s="1">
        <v>46103</v>
      </c>
      <c r="D226" s="1">
        <v>46107</v>
      </c>
      <c r="E226" t="s">
        <v>57</v>
      </c>
      <c r="F226" t="s">
        <v>58</v>
      </c>
      <c r="G226" t="s">
        <v>59</v>
      </c>
      <c r="H226">
        <v>1061</v>
      </c>
      <c r="I226" t="s">
        <v>87</v>
      </c>
      <c r="J226">
        <v>9</v>
      </c>
      <c r="K226">
        <v>8488</v>
      </c>
      <c r="L226">
        <v>9</v>
      </c>
      <c r="M226" t="s">
        <v>269</v>
      </c>
      <c r="N226">
        <v>12</v>
      </c>
      <c r="O226">
        <v>3.3</v>
      </c>
      <c r="P226" t="s">
        <v>32</v>
      </c>
      <c r="Q226" t="s">
        <v>33</v>
      </c>
      <c r="R226" t="s">
        <v>54</v>
      </c>
      <c r="S226">
        <v>2</v>
      </c>
      <c r="T226">
        <v>4</v>
      </c>
      <c r="U226">
        <v>2</v>
      </c>
      <c r="V226" t="s">
        <v>46</v>
      </c>
      <c r="W226" t="s">
        <v>36</v>
      </c>
      <c r="X226" t="s">
        <v>63</v>
      </c>
      <c r="Y226" t="s">
        <v>62</v>
      </c>
      <c r="Z226">
        <v>3.4</v>
      </c>
    </row>
    <row r="227" spans="1:26" x14ac:dyDescent="0.3">
      <c r="A227" t="s">
        <v>348</v>
      </c>
      <c r="B227" s="1">
        <v>46048</v>
      </c>
      <c r="C227" s="1">
        <v>46049</v>
      </c>
      <c r="D227" s="1">
        <v>46051</v>
      </c>
      <c r="E227" t="s">
        <v>40</v>
      </c>
      <c r="F227" t="s">
        <v>41</v>
      </c>
      <c r="G227" t="s">
        <v>42</v>
      </c>
      <c r="H227">
        <v>933</v>
      </c>
      <c r="I227" t="s">
        <v>43</v>
      </c>
      <c r="J227">
        <v>5</v>
      </c>
      <c r="K227">
        <v>6531</v>
      </c>
      <c r="L227">
        <v>5</v>
      </c>
      <c r="M227" t="s">
        <v>88</v>
      </c>
      <c r="N227">
        <v>8</v>
      </c>
      <c r="O227">
        <v>4.8</v>
      </c>
      <c r="P227" t="s">
        <v>53</v>
      </c>
      <c r="Q227" t="s">
        <v>62</v>
      </c>
      <c r="R227" t="s">
        <v>67</v>
      </c>
      <c r="S227">
        <v>2</v>
      </c>
      <c r="T227">
        <v>2</v>
      </c>
      <c r="U227">
        <v>0</v>
      </c>
      <c r="V227" t="s">
        <v>35</v>
      </c>
      <c r="W227" t="s">
        <v>55</v>
      </c>
      <c r="X227" t="s">
        <v>63</v>
      </c>
      <c r="Y227" t="s">
        <v>38</v>
      </c>
      <c r="Z227">
        <v>4.7</v>
      </c>
    </row>
    <row r="228" spans="1:26" x14ac:dyDescent="0.3">
      <c r="A228" t="s">
        <v>349</v>
      </c>
      <c r="B228" s="1">
        <v>46108</v>
      </c>
      <c r="C228" s="1">
        <v>46109</v>
      </c>
      <c r="D228" s="1">
        <v>46110</v>
      </c>
      <c r="E228" t="s">
        <v>82</v>
      </c>
      <c r="F228" t="s">
        <v>83</v>
      </c>
      <c r="G228" t="s">
        <v>84</v>
      </c>
      <c r="H228">
        <v>384</v>
      </c>
      <c r="I228" t="s">
        <v>87</v>
      </c>
      <c r="J228">
        <v>2</v>
      </c>
      <c r="K228">
        <v>3072</v>
      </c>
      <c r="L228">
        <v>10</v>
      </c>
      <c r="M228" t="s">
        <v>239</v>
      </c>
      <c r="N228">
        <v>8</v>
      </c>
      <c r="O228">
        <v>5</v>
      </c>
      <c r="P228" t="s">
        <v>66</v>
      </c>
      <c r="Q228" t="s">
        <v>62</v>
      </c>
      <c r="R228" t="s">
        <v>34</v>
      </c>
      <c r="S228">
        <v>1</v>
      </c>
      <c r="T228">
        <v>1</v>
      </c>
      <c r="U228">
        <v>0</v>
      </c>
      <c r="V228" t="s">
        <v>35</v>
      </c>
      <c r="W228" t="s">
        <v>36</v>
      </c>
      <c r="X228" t="s">
        <v>63</v>
      </c>
      <c r="Y228" t="s">
        <v>62</v>
      </c>
      <c r="Z228">
        <v>3.7</v>
      </c>
    </row>
    <row r="229" spans="1:26" x14ac:dyDescent="0.3">
      <c r="A229" t="s">
        <v>350</v>
      </c>
      <c r="B229" s="1">
        <v>46109</v>
      </c>
      <c r="C229" s="1">
        <v>46110</v>
      </c>
      <c r="D229" s="1">
        <v>46115</v>
      </c>
      <c r="E229" t="s">
        <v>111</v>
      </c>
      <c r="F229" t="s">
        <v>27</v>
      </c>
      <c r="G229" t="s">
        <v>112</v>
      </c>
      <c r="H229">
        <v>1712</v>
      </c>
      <c r="I229" t="s">
        <v>87</v>
      </c>
      <c r="J229">
        <v>2</v>
      </c>
      <c r="K229">
        <v>20544</v>
      </c>
      <c r="L229">
        <v>5</v>
      </c>
      <c r="M229" t="s">
        <v>158</v>
      </c>
      <c r="N229">
        <v>14</v>
      </c>
      <c r="O229">
        <v>3.3</v>
      </c>
      <c r="P229" t="s">
        <v>45</v>
      </c>
      <c r="Q229" t="s">
        <v>62</v>
      </c>
      <c r="R229" t="s">
        <v>34</v>
      </c>
      <c r="S229">
        <v>3</v>
      </c>
      <c r="T229">
        <v>5</v>
      </c>
      <c r="U229">
        <v>2</v>
      </c>
      <c r="V229" t="s">
        <v>46</v>
      </c>
      <c r="W229" t="s">
        <v>68</v>
      </c>
      <c r="X229" t="s">
        <v>63</v>
      </c>
      <c r="Y229" t="s">
        <v>62</v>
      </c>
      <c r="Z229">
        <v>4.5999999999999996</v>
      </c>
    </row>
    <row r="230" spans="1:26" x14ac:dyDescent="0.3">
      <c r="A230" t="s">
        <v>351</v>
      </c>
      <c r="B230" s="1">
        <v>46046</v>
      </c>
      <c r="C230" s="1">
        <v>46046</v>
      </c>
      <c r="D230" s="1">
        <v>46050</v>
      </c>
      <c r="E230" t="s">
        <v>111</v>
      </c>
      <c r="F230" t="s">
        <v>27</v>
      </c>
      <c r="G230" t="s">
        <v>112</v>
      </c>
      <c r="H230">
        <v>1019</v>
      </c>
      <c r="I230" t="s">
        <v>43</v>
      </c>
      <c r="J230">
        <v>5</v>
      </c>
      <c r="K230">
        <v>12228</v>
      </c>
      <c r="L230">
        <v>8</v>
      </c>
      <c r="M230" t="s">
        <v>65</v>
      </c>
      <c r="N230">
        <v>14</v>
      </c>
      <c r="O230">
        <v>4</v>
      </c>
      <c r="P230" t="s">
        <v>53</v>
      </c>
      <c r="Q230" t="s">
        <v>33</v>
      </c>
      <c r="R230" t="s">
        <v>67</v>
      </c>
      <c r="S230">
        <v>2</v>
      </c>
      <c r="T230">
        <v>4</v>
      </c>
      <c r="U230">
        <v>2</v>
      </c>
      <c r="V230" t="s">
        <v>46</v>
      </c>
      <c r="W230" t="s">
        <v>55</v>
      </c>
      <c r="X230" t="s">
        <v>63</v>
      </c>
      <c r="Y230" t="s">
        <v>38</v>
      </c>
      <c r="Z230">
        <v>3.2</v>
      </c>
    </row>
    <row r="231" spans="1:26" x14ac:dyDescent="0.3">
      <c r="A231" t="s">
        <v>352</v>
      </c>
      <c r="B231" s="1">
        <v>46139</v>
      </c>
      <c r="C231" s="1">
        <v>46141</v>
      </c>
      <c r="D231" s="1">
        <v>46145</v>
      </c>
      <c r="E231" t="s">
        <v>92</v>
      </c>
      <c r="F231" t="s">
        <v>93</v>
      </c>
      <c r="G231" t="s">
        <v>94</v>
      </c>
      <c r="H231">
        <v>1365</v>
      </c>
      <c r="I231" t="s">
        <v>43</v>
      </c>
      <c r="J231">
        <v>3</v>
      </c>
      <c r="K231">
        <v>13650</v>
      </c>
      <c r="L231">
        <v>8</v>
      </c>
      <c r="M231" t="s">
        <v>170</v>
      </c>
      <c r="N231">
        <v>6</v>
      </c>
      <c r="O231">
        <v>4.2</v>
      </c>
      <c r="P231" t="s">
        <v>45</v>
      </c>
      <c r="Q231" t="s">
        <v>62</v>
      </c>
      <c r="R231" t="s">
        <v>34</v>
      </c>
      <c r="S231">
        <v>3</v>
      </c>
      <c r="T231">
        <v>4</v>
      </c>
      <c r="U231">
        <v>1</v>
      </c>
      <c r="V231" t="s">
        <v>46</v>
      </c>
      <c r="W231" t="s">
        <v>68</v>
      </c>
      <c r="X231" t="s">
        <v>63</v>
      </c>
      <c r="Y231" t="s">
        <v>38</v>
      </c>
      <c r="Z231">
        <v>3.5</v>
      </c>
    </row>
    <row r="232" spans="1:26" x14ac:dyDescent="0.3">
      <c r="A232" t="s">
        <v>353</v>
      </c>
      <c r="B232" s="1">
        <v>46063</v>
      </c>
      <c r="C232" s="1">
        <v>46063</v>
      </c>
      <c r="D232" s="1">
        <v>46069</v>
      </c>
      <c r="E232" t="s">
        <v>40</v>
      </c>
      <c r="F232" t="s">
        <v>41</v>
      </c>
      <c r="G232" t="s">
        <v>42</v>
      </c>
      <c r="H232">
        <v>1571</v>
      </c>
      <c r="I232" t="s">
        <v>30</v>
      </c>
      <c r="J232">
        <v>9</v>
      </c>
      <c r="K232">
        <v>15710</v>
      </c>
      <c r="L232">
        <v>10</v>
      </c>
      <c r="M232" t="s">
        <v>65</v>
      </c>
      <c r="N232">
        <v>10</v>
      </c>
      <c r="O232">
        <v>3.2</v>
      </c>
      <c r="P232" t="s">
        <v>45</v>
      </c>
      <c r="Q232" t="s">
        <v>62</v>
      </c>
      <c r="R232" t="s">
        <v>34</v>
      </c>
      <c r="S232">
        <v>3</v>
      </c>
      <c r="T232">
        <v>6</v>
      </c>
      <c r="U232">
        <v>3</v>
      </c>
      <c r="V232" t="s">
        <v>46</v>
      </c>
      <c r="W232" t="s">
        <v>36</v>
      </c>
      <c r="X232" t="s">
        <v>76</v>
      </c>
      <c r="Y232" t="s">
        <v>33</v>
      </c>
      <c r="Z232">
        <v>3.1</v>
      </c>
    </row>
    <row r="233" spans="1:26" x14ac:dyDescent="0.3">
      <c r="A233" t="s">
        <v>354</v>
      </c>
      <c r="B233" s="1">
        <v>46105</v>
      </c>
      <c r="C233" s="1">
        <v>46105</v>
      </c>
      <c r="D233" s="1">
        <v>46109</v>
      </c>
      <c r="E233" t="s">
        <v>92</v>
      </c>
      <c r="F233" t="s">
        <v>93</v>
      </c>
      <c r="G233" t="s">
        <v>94</v>
      </c>
      <c r="H233">
        <v>1215</v>
      </c>
      <c r="I233" t="s">
        <v>60</v>
      </c>
      <c r="J233">
        <v>2</v>
      </c>
      <c r="K233">
        <v>14580</v>
      </c>
      <c r="L233">
        <v>8</v>
      </c>
      <c r="M233" t="s">
        <v>226</v>
      </c>
      <c r="N233">
        <v>4</v>
      </c>
      <c r="O233">
        <v>3.7</v>
      </c>
      <c r="P233" t="s">
        <v>66</v>
      </c>
      <c r="Q233" t="s">
        <v>38</v>
      </c>
      <c r="R233" t="s">
        <v>54</v>
      </c>
      <c r="S233">
        <v>2</v>
      </c>
      <c r="T233">
        <v>4</v>
      </c>
      <c r="U233">
        <v>2</v>
      </c>
      <c r="V233" t="s">
        <v>46</v>
      </c>
      <c r="W233" t="s">
        <v>55</v>
      </c>
      <c r="X233" t="s">
        <v>95</v>
      </c>
      <c r="Y233" t="s">
        <v>62</v>
      </c>
      <c r="Z233">
        <v>4.5999999999999996</v>
      </c>
    </row>
    <row r="234" spans="1:26" x14ac:dyDescent="0.3">
      <c r="A234" t="s">
        <v>355</v>
      </c>
      <c r="B234" s="1">
        <v>46033</v>
      </c>
      <c r="C234" s="1">
        <v>46034</v>
      </c>
      <c r="D234" s="1">
        <v>46040</v>
      </c>
      <c r="E234" t="s">
        <v>92</v>
      </c>
      <c r="F234" t="s">
        <v>93</v>
      </c>
      <c r="G234" t="s">
        <v>94</v>
      </c>
      <c r="H234">
        <v>1373</v>
      </c>
      <c r="I234" t="s">
        <v>43</v>
      </c>
      <c r="J234">
        <v>2</v>
      </c>
      <c r="K234">
        <v>16476</v>
      </c>
      <c r="L234">
        <v>8</v>
      </c>
      <c r="M234" t="s">
        <v>128</v>
      </c>
      <c r="N234">
        <v>6</v>
      </c>
      <c r="O234">
        <v>3.2</v>
      </c>
      <c r="P234" t="s">
        <v>53</v>
      </c>
      <c r="Q234" t="s">
        <v>33</v>
      </c>
      <c r="R234" t="s">
        <v>54</v>
      </c>
      <c r="S234">
        <v>3</v>
      </c>
      <c r="T234">
        <v>6</v>
      </c>
      <c r="U234">
        <v>3</v>
      </c>
      <c r="V234" t="s">
        <v>46</v>
      </c>
      <c r="W234" t="s">
        <v>68</v>
      </c>
      <c r="X234" t="s">
        <v>63</v>
      </c>
      <c r="Y234" t="s">
        <v>33</v>
      </c>
      <c r="Z234">
        <v>4.0999999999999996</v>
      </c>
    </row>
    <row r="235" spans="1:26" x14ac:dyDescent="0.3">
      <c r="A235" t="s">
        <v>356</v>
      </c>
      <c r="B235" s="1">
        <v>46128</v>
      </c>
      <c r="C235" s="1">
        <v>46128</v>
      </c>
      <c r="D235" s="1">
        <v>46134</v>
      </c>
      <c r="E235" t="s">
        <v>57</v>
      </c>
      <c r="F235" t="s">
        <v>58</v>
      </c>
      <c r="G235" t="s">
        <v>59</v>
      </c>
      <c r="H235">
        <v>1241</v>
      </c>
      <c r="I235" t="s">
        <v>60</v>
      </c>
      <c r="J235">
        <v>8</v>
      </c>
      <c r="K235">
        <v>9928</v>
      </c>
      <c r="L235">
        <v>7</v>
      </c>
      <c r="M235" t="s">
        <v>208</v>
      </c>
      <c r="N235">
        <v>14</v>
      </c>
      <c r="O235">
        <v>3.4</v>
      </c>
      <c r="P235" t="s">
        <v>53</v>
      </c>
      <c r="Q235" t="s">
        <v>62</v>
      </c>
      <c r="R235" t="s">
        <v>54</v>
      </c>
      <c r="S235">
        <v>2</v>
      </c>
      <c r="T235">
        <v>6</v>
      </c>
      <c r="U235">
        <v>4</v>
      </c>
      <c r="V235" t="s">
        <v>46</v>
      </c>
      <c r="W235" t="s">
        <v>68</v>
      </c>
      <c r="X235" t="s">
        <v>47</v>
      </c>
      <c r="Y235" t="s">
        <v>33</v>
      </c>
      <c r="Z235">
        <v>3.9</v>
      </c>
    </row>
    <row r="236" spans="1:26" x14ac:dyDescent="0.3">
      <c r="A236" t="s">
        <v>357</v>
      </c>
      <c r="B236" s="1">
        <v>46035</v>
      </c>
      <c r="C236" s="1">
        <v>46037</v>
      </c>
      <c r="D236" s="1">
        <v>46039</v>
      </c>
      <c r="E236" t="s">
        <v>40</v>
      </c>
      <c r="F236" t="s">
        <v>41</v>
      </c>
      <c r="G236" t="s">
        <v>42</v>
      </c>
      <c r="H236">
        <v>204</v>
      </c>
      <c r="I236" t="s">
        <v>30</v>
      </c>
      <c r="J236">
        <v>6</v>
      </c>
      <c r="K236">
        <v>2448</v>
      </c>
      <c r="L236">
        <v>10</v>
      </c>
      <c r="M236" t="s">
        <v>99</v>
      </c>
      <c r="N236">
        <v>9</v>
      </c>
      <c r="O236">
        <v>4</v>
      </c>
      <c r="P236" t="s">
        <v>32</v>
      </c>
      <c r="Q236" t="s">
        <v>38</v>
      </c>
      <c r="R236" t="s">
        <v>67</v>
      </c>
      <c r="S236">
        <v>1</v>
      </c>
      <c r="T236">
        <v>2</v>
      </c>
      <c r="U236">
        <v>1</v>
      </c>
      <c r="V236" t="s">
        <v>46</v>
      </c>
      <c r="W236" t="s">
        <v>36</v>
      </c>
      <c r="X236" t="s">
        <v>95</v>
      </c>
      <c r="Y236" t="s">
        <v>38</v>
      </c>
      <c r="Z236">
        <v>3.5</v>
      </c>
    </row>
    <row r="237" spans="1:26" x14ac:dyDescent="0.3">
      <c r="A237" t="s">
        <v>358</v>
      </c>
      <c r="B237" s="1">
        <v>46048</v>
      </c>
      <c r="C237" s="1">
        <v>46048</v>
      </c>
      <c r="D237" s="1">
        <v>46054</v>
      </c>
      <c r="E237" t="s">
        <v>72</v>
      </c>
      <c r="F237" t="s">
        <v>73</v>
      </c>
      <c r="G237" t="s">
        <v>74</v>
      </c>
      <c r="H237">
        <v>1004</v>
      </c>
      <c r="I237" t="s">
        <v>60</v>
      </c>
      <c r="J237">
        <v>8</v>
      </c>
      <c r="K237">
        <v>12048</v>
      </c>
      <c r="L237">
        <v>6</v>
      </c>
      <c r="M237" t="s">
        <v>245</v>
      </c>
      <c r="N237">
        <v>6</v>
      </c>
      <c r="O237">
        <v>3.2</v>
      </c>
      <c r="P237" t="s">
        <v>53</v>
      </c>
      <c r="Q237" t="s">
        <v>38</v>
      </c>
      <c r="R237" t="s">
        <v>54</v>
      </c>
      <c r="S237">
        <v>2</v>
      </c>
      <c r="T237">
        <v>6</v>
      </c>
      <c r="U237">
        <v>4</v>
      </c>
      <c r="V237" t="s">
        <v>46</v>
      </c>
      <c r="W237" t="s">
        <v>36</v>
      </c>
      <c r="X237" t="s">
        <v>95</v>
      </c>
      <c r="Y237" t="s">
        <v>62</v>
      </c>
      <c r="Z237">
        <v>4.3</v>
      </c>
    </row>
    <row r="238" spans="1:26" x14ac:dyDescent="0.3">
      <c r="A238" t="s">
        <v>359</v>
      </c>
      <c r="B238" s="1">
        <v>46087</v>
      </c>
      <c r="C238" s="1">
        <v>46087</v>
      </c>
      <c r="D238" s="1">
        <v>46094</v>
      </c>
      <c r="E238" t="s">
        <v>92</v>
      </c>
      <c r="F238" t="s">
        <v>93</v>
      </c>
      <c r="G238" t="s">
        <v>94</v>
      </c>
      <c r="H238">
        <v>208</v>
      </c>
      <c r="I238" t="s">
        <v>87</v>
      </c>
      <c r="J238">
        <v>9</v>
      </c>
      <c r="K238">
        <v>1872</v>
      </c>
      <c r="L238">
        <v>9</v>
      </c>
      <c r="M238" t="s">
        <v>116</v>
      </c>
      <c r="N238">
        <v>15</v>
      </c>
      <c r="O238">
        <v>4</v>
      </c>
      <c r="P238" t="s">
        <v>45</v>
      </c>
      <c r="Q238" t="s">
        <v>33</v>
      </c>
      <c r="R238" t="s">
        <v>54</v>
      </c>
      <c r="S238">
        <v>1</v>
      </c>
      <c r="T238">
        <v>7</v>
      </c>
      <c r="U238">
        <v>6</v>
      </c>
      <c r="V238" t="s">
        <v>46</v>
      </c>
      <c r="W238" t="s">
        <v>36</v>
      </c>
      <c r="X238" t="s">
        <v>63</v>
      </c>
      <c r="Y238" t="s">
        <v>62</v>
      </c>
      <c r="Z238">
        <v>4.3</v>
      </c>
    </row>
    <row r="239" spans="1:26" x14ac:dyDescent="0.3">
      <c r="A239" t="s">
        <v>360</v>
      </c>
      <c r="B239" s="1">
        <v>46100</v>
      </c>
      <c r="C239" s="1">
        <v>46101</v>
      </c>
      <c r="D239" s="1">
        <v>46107</v>
      </c>
      <c r="E239" t="s">
        <v>111</v>
      </c>
      <c r="F239" t="s">
        <v>27</v>
      </c>
      <c r="G239" t="s">
        <v>112</v>
      </c>
      <c r="H239">
        <v>1057</v>
      </c>
      <c r="I239" t="s">
        <v>60</v>
      </c>
      <c r="J239">
        <v>5</v>
      </c>
      <c r="K239">
        <v>9513</v>
      </c>
      <c r="L239">
        <v>7</v>
      </c>
      <c r="M239" t="s">
        <v>99</v>
      </c>
      <c r="N239">
        <v>8</v>
      </c>
      <c r="O239">
        <v>4.5999999999999996</v>
      </c>
      <c r="P239" t="s">
        <v>45</v>
      </c>
      <c r="Q239" t="s">
        <v>62</v>
      </c>
      <c r="R239" t="s">
        <v>54</v>
      </c>
      <c r="S239">
        <v>2</v>
      </c>
      <c r="T239">
        <v>6</v>
      </c>
      <c r="U239">
        <v>4</v>
      </c>
      <c r="V239" t="s">
        <v>46</v>
      </c>
      <c r="W239" t="s">
        <v>68</v>
      </c>
      <c r="X239" t="s">
        <v>76</v>
      </c>
      <c r="Y239" t="s">
        <v>62</v>
      </c>
      <c r="Z239">
        <v>4.4000000000000004</v>
      </c>
    </row>
    <row r="240" spans="1:26" x14ac:dyDescent="0.3">
      <c r="A240" t="s">
        <v>361</v>
      </c>
      <c r="B240" s="1">
        <v>46142</v>
      </c>
      <c r="C240" s="1">
        <v>46144</v>
      </c>
      <c r="D240" s="1">
        <v>46149</v>
      </c>
      <c r="E240" t="s">
        <v>40</v>
      </c>
      <c r="F240" t="s">
        <v>41</v>
      </c>
      <c r="G240" t="s">
        <v>42</v>
      </c>
      <c r="H240">
        <v>611</v>
      </c>
      <c r="I240" t="s">
        <v>60</v>
      </c>
      <c r="J240">
        <v>10</v>
      </c>
      <c r="K240">
        <v>6721</v>
      </c>
      <c r="L240">
        <v>7</v>
      </c>
      <c r="M240" t="s">
        <v>123</v>
      </c>
      <c r="N240">
        <v>6</v>
      </c>
      <c r="O240">
        <v>4.8</v>
      </c>
      <c r="P240" t="s">
        <v>45</v>
      </c>
      <c r="Q240" t="s">
        <v>33</v>
      </c>
      <c r="R240" t="s">
        <v>54</v>
      </c>
      <c r="S240">
        <v>1</v>
      </c>
      <c r="T240">
        <v>5</v>
      </c>
      <c r="U240">
        <v>4</v>
      </c>
      <c r="V240" t="s">
        <v>46</v>
      </c>
      <c r="W240" t="s">
        <v>55</v>
      </c>
      <c r="X240" t="s">
        <v>47</v>
      </c>
      <c r="Y240" t="s">
        <v>33</v>
      </c>
      <c r="Z240">
        <v>3.2</v>
      </c>
    </row>
    <row r="241" spans="1:26" x14ac:dyDescent="0.3">
      <c r="A241" t="s">
        <v>362</v>
      </c>
      <c r="B241" s="1">
        <v>46068</v>
      </c>
      <c r="C241" s="1">
        <v>46070</v>
      </c>
      <c r="D241" s="1">
        <v>46073</v>
      </c>
      <c r="E241" t="s">
        <v>92</v>
      </c>
      <c r="F241" t="s">
        <v>93</v>
      </c>
      <c r="G241" t="s">
        <v>94</v>
      </c>
      <c r="H241">
        <v>1393</v>
      </c>
      <c r="I241" t="s">
        <v>43</v>
      </c>
      <c r="J241">
        <v>9</v>
      </c>
      <c r="K241">
        <v>11144</v>
      </c>
      <c r="L241">
        <v>8</v>
      </c>
      <c r="M241" t="s">
        <v>158</v>
      </c>
      <c r="N241">
        <v>9</v>
      </c>
      <c r="O241">
        <v>3.2</v>
      </c>
      <c r="P241" t="s">
        <v>53</v>
      </c>
      <c r="Q241" t="s">
        <v>38</v>
      </c>
      <c r="R241" t="s">
        <v>67</v>
      </c>
      <c r="S241">
        <v>3</v>
      </c>
      <c r="T241">
        <v>3</v>
      </c>
      <c r="U241">
        <v>0</v>
      </c>
      <c r="V241" t="s">
        <v>35</v>
      </c>
      <c r="W241" t="s">
        <v>36</v>
      </c>
      <c r="X241" t="s">
        <v>47</v>
      </c>
      <c r="Y241" t="s">
        <v>38</v>
      </c>
      <c r="Z241">
        <v>5</v>
      </c>
    </row>
    <row r="242" spans="1:26" x14ac:dyDescent="0.3">
      <c r="A242" t="s">
        <v>363</v>
      </c>
      <c r="B242" s="1">
        <v>46110</v>
      </c>
      <c r="C242" s="1">
        <v>46111</v>
      </c>
      <c r="D242" s="1">
        <v>46115</v>
      </c>
      <c r="E242" t="s">
        <v>82</v>
      </c>
      <c r="F242" t="s">
        <v>83</v>
      </c>
      <c r="G242" t="s">
        <v>84</v>
      </c>
      <c r="H242">
        <v>327</v>
      </c>
      <c r="I242" t="s">
        <v>30</v>
      </c>
      <c r="J242">
        <v>4</v>
      </c>
      <c r="K242">
        <v>3924</v>
      </c>
      <c r="L242">
        <v>9</v>
      </c>
      <c r="M242" t="s">
        <v>172</v>
      </c>
      <c r="N242">
        <v>6</v>
      </c>
      <c r="O242">
        <v>4.5999999999999996</v>
      </c>
      <c r="P242" t="s">
        <v>32</v>
      </c>
      <c r="Q242" t="s">
        <v>33</v>
      </c>
      <c r="R242" t="s">
        <v>54</v>
      </c>
      <c r="S242">
        <v>1</v>
      </c>
      <c r="T242">
        <v>4</v>
      </c>
      <c r="U242">
        <v>3</v>
      </c>
      <c r="V242" t="s">
        <v>46</v>
      </c>
      <c r="W242" t="s">
        <v>36</v>
      </c>
      <c r="X242" t="s">
        <v>76</v>
      </c>
      <c r="Y242" t="s">
        <v>33</v>
      </c>
      <c r="Z242">
        <v>3.6</v>
      </c>
    </row>
    <row r="243" spans="1:26" x14ac:dyDescent="0.3">
      <c r="A243" t="s">
        <v>364</v>
      </c>
      <c r="B243" s="1">
        <v>46108</v>
      </c>
      <c r="C243" s="1">
        <v>46108</v>
      </c>
      <c r="D243" s="1">
        <v>46112</v>
      </c>
      <c r="E243" t="s">
        <v>111</v>
      </c>
      <c r="F243" t="s">
        <v>27</v>
      </c>
      <c r="G243" t="s">
        <v>112</v>
      </c>
      <c r="H243">
        <v>993</v>
      </c>
      <c r="I243" t="s">
        <v>43</v>
      </c>
      <c r="J243">
        <v>6</v>
      </c>
      <c r="K243">
        <v>9930</v>
      </c>
      <c r="L243">
        <v>5</v>
      </c>
      <c r="M243" t="s">
        <v>158</v>
      </c>
      <c r="N243">
        <v>12</v>
      </c>
      <c r="O243">
        <v>3.5</v>
      </c>
      <c r="P243" t="s">
        <v>53</v>
      </c>
      <c r="Q243" t="s">
        <v>38</v>
      </c>
      <c r="R243" t="s">
        <v>54</v>
      </c>
      <c r="S243">
        <v>2</v>
      </c>
      <c r="T243">
        <v>4</v>
      </c>
      <c r="U243">
        <v>2</v>
      </c>
      <c r="V243" t="s">
        <v>46</v>
      </c>
      <c r="W243" t="s">
        <v>55</v>
      </c>
      <c r="X243" t="s">
        <v>76</v>
      </c>
      <c r="Y243" t="s">
        <v>33</v>
      </c>
      <c r="Z243">
        <v>4.2</v>
      </c>
    </row>
    <row r="244" spans="1:26" x14ac:dyDescent="0.3">
      <c r="A244" t="s">
        <v>365</v>
      </c>
      <c r="B244" s="1">
        <v>46122</v>
      </c>
      <c r="C244" s="1">
        <v>46124</v>
      </c>
      <c r="D244" s="1">
        <v>46126</v>
      </c>
      <c r="E244" t="s">
        <v>40</v>
      </c>
      <c r="F244" t="s">
        <v>41</v>
      </c>
      <c r="G244" t="s">
        <v>42</v>
      </c>
      <c r="H244">
        <v>802</v>
      </c>
      <c r="I244" t="s">
        <v>43</v>
      </c>
      <c r="J244">
        <v>3</v>
      </c>
      <c r="K244">
        <v>8822</v>
      </c>
      <c r="L244">
        <v>5</v>
      </c>
      <c r="M244" t="s">
        <v>283</v>
      </c>
      <c r="N244">
        <v>3</v>
      </c>
      <c r="O244">
        <v>4.5</v>
      </c>
      <c r="P244" t="s">
        <v>32</v>
      </c>
      <c r="Q244" t="s">
        <v>62</v>
      </c>
      <c r="R244" t="s">
        <v>67</v>
      </c>
      <c r="S244">
        <v>1</v>
      </c>
      <c r="T244">
        <v>2</v>
      </c>
      <c r="U244">
        <v>1</v>
      </c>
      <c r="V244" t="s">
        <v>46</v>
      </c>
      <c r="W244" t="s">
        <v>68</v>
      </c>
      <c r="X244" t="s">
        <v>76</v>
      </c>
      <c r="Y244" t="s">
        <v>62</v>
      </c>
      <c r="Z244">
        <v>3.3</v>
      </c>
    </row>
    <row r="245" spans="1:26" x14ac:dyDescent="0.3">
      <c r="A245" t="s">
        <v>366</v>
      </c>
      <c r="B245" s="1">
        <v>46097</v>
      </c>
      <c r="C245" s="1">
        <v>46098</v>
      </c>
      <c r="D245" s="1">
        <v>46101</v>
      </c>
      <c r="E245" t="s">
        <v>27</v>
      </c>
      <c r="F245" t="s">
        <v>28</v>
      </c>
      <c r="G245" t="s">
        <v>29</v>
      </c>
      <c r="H245">
        <v>876</v>
      </c>
      <c r="I245" t="s">
        <v>43</v>
      </c>
      <c r="J245">
        <v>3</v>
      </c>
      <c r="K245">
        <v>5256</v>
      </c>
      <c r="L245">
        <v>6</v>
      </c>
      <c r="M245" t="s">
        <v>226</v>
      </c>
      <c r="N245">
        <v>10</v>
      </c>
      <c r="O245">
        <v>3.1</v>
      </c>
      <c r="P245" t="s">
        <v>66</v>
      </c>
      <c r="Q245" t="s">
        <v>62</v>
      </c>
      <c r="R245" t="s">
        <v>54</v>
      </c>
      <c r="S245">
        <v>1</v>
      </c>
      <c r="T245">
        <v>3</v>
      </c>
      <c r="U245">
        <v>2</v>
      </c>
      <c r="V245" t="s">
        <v>46</v>
      </c>
      <c r="W245" t="s">
        <v>36</v>
      </c>
      <c r="X245" t="s">
        <v>47</v>
      </c>
      <c r="Y245" t="s">
        <v>33</v>
      </c>
      <c r="Z245">
        <v>3.4</v>
      </c>
    </row>
    <row r="246" spans="1:26" x14ac:dyDescent="0.3">
      <c r="A246" t="s">
        <v>367</v>
      </c>
      <c r="B246" s="1">
        <v>46046</v>
      </c>
      <c r="C246" s="1">
        <v>46048</v>
      </c>
      <c r="D246" s="1">
        <v>46052</v>
      </c>
      <c r="E246" t="s">
        <v>72</v>
      </c>
      <c r="F246" t="s">
        <v>73</v>
      </c>
      <c r="G246" t="s">
        <v>74</v>
      </c>
      <c r="H246">
        <v>1234</v>
      </c>
      <c r="I246" t="s">
        <v>60</v>
      </c>
      <c r="J246">
        <v>7</v>
      </c>
      <c r="K246">
        <v>12340</v>
      </c>
      <c r="L246">
        <v>9</v>
      </c>
      <c r="M246" t="s">
        <v>205</v>
      </c>
      <c r="N246">
        <v>2</v>
      </c>
      <c r="O246">
        <v>3.7</v>
      </c>
      <c r="P246" t="s">
        <v>45</v>
      </c>
      <c r="Q246" t="s">
        <v>33</v>
      </c>
      <c r="R246" t="s">
        <v>34</v>
      </c>
      <c r="S246">
        <v>2</v>
      </c>
      <c r="T246">
        <v>4</v>
      </c>
      <c r="U246">
        <v>2</v>
      </c>
      <c r="V246" t="s">
        <v>46</v>
      </c>
      <c r="W246" t="s">
        <v>36</v>
      </c>
      <c r="X246" t="s">
        <v>76</v>
      </c>
      <c r="Y246" t="s">
        <v>33</v>
      </c>
      <c r="Z246">
        <v>3.9</v>
      </c>
    </row>
    <row r="247" spans="1:26" x14ac:dyDescent="0.3">
      <c r="A247" t="s">
        <v>368</v>
      </c>
      <c r="B247" s="1">
        <v>46094</v>
      </c>
      <c r="C247" s="1">
        <v>46096</v>
      </c>
      <c r="D247" s="1">
        <v>46097</v>
      </c>
      <c r="E247" t="s">
        <v>27</v>
      </c>
      <c r="F247" t="s">
        <v>28</v>
      </c>
      <c r="G247" t="s">
        <v>29</v>
      </c>
      <c r="H247">
        <v>434</v>
      </c>
      <c r="I247" t="s">
        <v>30</v>
      </c>
      <c r="J247">
        <v>8</v>
      </c>
      <c r="K247">
        <v>3038</v>
      </c>
      <c r="L247">
        <v>10</v>
      </c>
      <c r="M247" t="s">
        <v>139</v>
      </c>
      <c r="N247">
        <v>15</v>
      </c>
      <c r="O247">
        <v>4.2</v>
      </c>
      <c r="P247" t="s">
        <v>32</v>
      </c>
      <c r="Q247" t="s">
        <v>33</v>
      </c>
      <c r="R247" t="s">
        <v>34</v>
      </c>
      <c r="S247">
        <v>1</v>
      </c>
      <c r="T247">
        <v>1</v>
      </c>
      <c r="U247">
        <v>0</v>
      </c>
      <c r="V247" t="s">
        <v>35</v>
      </c>
      <c r="W247" t="s">
        <v>68</v>
      </c>
      <c r="X247" t="s">
        <v>47</v>
      </c>
      <c r="Y247" t="s">
        <v>33</v>
      </c>
      <c r="Z247">
        <v>4.4000000000000004</v>
      </c>
    </row>
    <row r="248" spans="1:26" x14ac:dyDescent="0.3">
      <c r="A248" t="s">
        <v>369</v>
      </c>
      <c r="B248" s="1">
        <v>46026</v>
      </c>
      <c r="C248" s="1">
        <v>46028</v>
      </c>
      <c r="D248" s="1">
        <v>46032</v>
      </c>
      <c r="E248" t="s">
        <v>49</v>
      </c>
      <c r="F248" t="s">
        <v>50</v>
      </c>
      <c r="G248" t="s">
        <v>51</v>
      </c>
      <c r="H248">
        <v>1253</v>
      </c>
      <c r="I248" t="s">
        <v>43</v>
      </c>
      <c r="J248">
        <v>8</v>
      </c>
      <c r="K248">
        <v>7518</v>
      </c>
      <c r="L248">
        <v>7</v>
      </c>
      <c r="M248" t="s">
        <v>97</v>
      </c>
      <c r="N248">
        <v>4</v>
      </c>
      <c r="O248">
        <v>3.6</v>
      </c>
      <c r="P248" t="s">
        <v>32</v>
      </c>
      <c r="Q248" t="s">
        <v>38</v>
      </c>
      <c r="R248" t="s">
        <v>67</v>
      </c>
      <c r="S248">
        <v>2</v>
      </c>
      <c r="T248">
        <v>4</v>
      </c>
      <c r="U248">
        <v>2</v>
      </c>
      <c r="V248" t="s">
        <v>46</v>
      </c>
      <c r="W248" t="s">
        <v>55</v>
      </c>
      <c r="X248" t="s">
        <v>63</v>
      </c>
      <c r="Y248" t="s">
        <v>33</v>
      </c>
      <c r="Z248">
        <v>3.1</v>
      </c>
    </row>
    <row r="249" spans="1:26" x14ac:dyDescent="0.3">
      <c r="A249" t="s">
        <v>370</v>
      </c>
      <c r="B249" s="1">
        <v>46108</v>
      </c>
      <c r="C249" s="1">
        <v>46110</v>
      </c>
      <c r="D249" s="1">
        <v>46114</v>
      </c>
      <c r="E249" t="s">
        <v>40</v>
      </c>
      <c r="F249" t="s">
        <v>41</v>
      </c>
      <c r="G249" t="s">
        <v>42</v>
      </c>
      <c r="H249">
        <v>1603</v>
      </c>
      <c r="I249" t="s">
        <v>43</v>
      </c>
      <c r="J249">
        <v>2</v>
      </c>
      <c r="K249">
        <v>11221</v>
      </c>
      <c r="L249">
        <v>9</v>
      </c>
      <c r="M249" t="s">
        <v>65</v>
      </c>
      <c r="N249">
        <v>15</v>
      </c>
      <c r="O249">
        <v>5</v>
      </c>
      <c r="P249" t="s">
        <v>53</v>
      </c>
      <c r="Q249" t="s">
        <v>33</v>
      </c>
      <c r="R249" t="s">
        <v>67</v>
      </c>
      <c r="S249">
        <v>3</v>
      </c>
      <c r="T249">
        <v>4</v>
      </c>
      <c r="U249">
        <v>1</v>
      </c>
      <c r="V249" t="s">
        <v>46</v>
      </c>
      <c r="W249" t="s">
        <v>55</v>
      </c>
      <c r="X249" t="s">
        <v>47</v>
      </c>
      <c r="Y249" t="s">
        <v>38</v>
      </c>
      <c r="Z249">
        <v>3.2</v>
      </c>
    </row>
    <row r="250" spans="1:26" x14ac:dyDescent="0.3">
      <c r="A250" t="s">
        <v>371</v>
      </c>
      <c r="B250" s="1">
        <v>46029</v>
      </c>
      <c r="C250" s="1">
        <v>46029</v>
      </c>
      <c r="D250" s="1">
        <v>46032</v>
      </c>
      <c r="E250" t="s">
        <v>57</v>
      </c>
      <c r="F250" t="s">
        <v>58</v>
      </c>
      <c r="G250" t="s">
        <v>59</v>
      </c>
      <c r="H250">
        <v>1342</v>
      </c>
      <c r="I250" t="s">
        <v>87</v>
      </c>
      <c r="J250">
        <v>10</v>
      </c>
      <c r="K250">
        <v>16104</v>
      </c>
      <c r="L250">
        <v>6</v>
      </c>
      <c r="M250" t="s">
        <v>243</v>
      </c>
      <c r="N250">
        <v>7</v>
      </c>
      <c r="O250">
        <v>3.8</v>
      </c>
      <c r="P250" t="s">
        <v>53</v>
      </c>
      <c r="Q250" t="s">
        <v>62</v>
      </c>
      <c r="R250" t="s">
        <v>34</v>
      </c>
      <c r="S250">
        <v>2</v>
      </c>
      <c r="T250">
        <v>3</v>
      </c>
      <c r="U250">
        <v>1</v>
      </c>
      <c r="V250" t="s">
        <v>46</v>
      </c>
      <c r="W250" t="s">
        <v>55</v>
      </c>
      <c r="X250" t="s">
        <v>63</v>
      </c>
      <c r="Y250" t="s">
        <v>33</v>
      </c>
      <c r="Z250">
        <v>3</v>
      </c>
    </row>
    <row r="251" spans="1:26" x14ac:dyDescent="0.3">
      <c r="A251" t="s">
        <v>372</v>
      </c>
      <c r="B251" s="1">
        <v>46115</v>
      </c>
      <c r="C251" s="1">
        <v>46117</v>
      </c>
      <c r="D251" s="1">
        <v>46123</v>
      </c>
      <c r="E251" t="s">
        <v>72</v>
      </c>
      <c r="F251" t="s">
        <v>73</v>
      </c>
      <c r="G251" t="s">
        <v>74</v>
      </c>
      <c r="H251">
        <v>1748</v>
      </c>
      <c r="I251" t="s">
        <v>87</v>
      </c>
      <c r="J251">
        <v>2</v>
      </c>
      <c r="K251">
        <v>13984</v>
      </c>
      <c r="L251">
        <v>9</v>
      </c>
      <c r="M251" t="s">
        <v>107</v>
      </c>
      <c r="N251">
        <v>5</v>
      </c>
      <c r="O251">
        <v>4.5999999999999996</v>
      </c>
      <c r="P251" t="s">
        <v>66</v>
      </c>
      <c r="Q251" t="s">
        <v>33</v>
      </c>
      <c r="R251" t="s">
        <v>67</v>
      </c>
      <c r="S251">
        <v>3</v>
      </c>
      <c r="T251">
        <v>6</v>
      </c>
      <c r="U251">
        <v>3</v>
      </c>
      <c r="V251" t="s">
        <v>46</v>
      </c>
      <c r="W251" t="s">
        <v>68</v>
      </c>
      <c r="X251" t="s">
        <v>63</v>
      </c>
      <c r="Y251" t="s">
        <v>62</v>
      </c>
      <c r="Z251">
        <v>3.3</v>
      </c>
    </row>
    <row r="252" spans="1:26" x14ac:dyDescent="0.3">
      <c r="A252" t="s">
        <v>373</v>
      </c>
      <c r="B252" s="1">
        <v>46051</v>
      </c>
      <c r="C252" s="1">
        <v>46051</v>
      </c>
      <c r="D252" s="1">
        <v>46053</v>
      </c>
      <c r="E252" t="s">
        <v>111</v>
      </c>
      <c r="F252" t="s">
        <v>27</v>
      </c>
      <c r="G252" t="s">
        <v>112</v>
      </c>
      <c r="H252">
        <v>1317</v>
      </c>
      <c r="I252" t="s">
        <v>30</v>
      </c>
      <c r="J252">
        <v>3</v>
      </c>
      <c r="K252">
        <v>10536</v>
      </c>
      <c r="L252">
        <v>10</v>
      </c>
      <c r="M252" t="s">
        <v>78</v>
      </c>
      <c r="N252">
        <v>11</v>
      </c>
      <c r="O252">
        <v>3.7</v>
      </c>
      <c r="P252" t="s">
        <v>32</v>
      </c>
      <c r="Q252" t="s">
        <v>33</v>
      </c>
      <c r="R252" t="s">
        <v>54</v>
      </c>
      <c r="S252">
        <v>2</v>
      </c>
      <c r="T252">
        <v>2</v>
      </c>
      <c r="U252">
        <v>0</v>
      </c>
      <c r="V252" t="s">
        <v>35</v>
      </c>
      <c r="W252" t="s">
        <v>36</v>
      </c>
      <c r="X252" t="s">
        <v>63</v>
      </c>
      <c r="Y252" t="s">
        <v>33</v>
      </c>
      <c r="Z252">
        <v>4.2</v>
      </c>
    </row>
    <row r="253" spans="1:26" x14ac:dyDescent="0.3">
      <c r="A253" t="s">
        <v>374</v>
      </c>
      <c r="B253" s="1">
        <v>46091</v>
      </c>
      <c r="C253" s="1">
        <v>46093</v>
      </c>
      <c r="D253" s="1">
        <v>46096</v>
      </c>
      <c r="E253" t="s">
        <v>72</v>
      </c>
      <c r="F253" t="s">
        <v>73</v>
      </c>
      <c r="G253" t="s">
        <v>74</v>
      </c>
      <c r="H253">
        <v>824</v>
      </c>
      <c r="I253" t="s">
        <v>60</v>
      </c>
      <c r="J253">
        <v>6</v>
      </c>
      <c r="K253">
        <v>5768</v>
      </c>
      <c r="L253">
        <v>8</v>
      </c>
      <c r="M253" t="s">
        <v>97</v>
      </c>
      <c r="N253">
        <v>14</v>
      </c>
      <c r="O253">
        <v>4</v>
      </c>
      <c r="P253" t="s">
        <v>45</v>
      </c>
      <c r="Q253" t="s">
        <v>38</v>
      </c>
      <c r="R253" t="s">
        <v>67</v>
      </c>
      <c r="S253">
        <v>1</v>
      </c>
      <c r="T253">
        <v>3</v>
      </c>
      <c r="U253">
        <v>2</v>
      </c>
      <c r="V253" t="s">
        <v>46</v>
      </c>
      <c r="W253" t="s">
        <v>36</v>
      </c>
      <c r="X253" t="s">
        <v>63</v>
      </c>
      <c r="Y253" t="s">
        <v>38</v>
      </c>
      <c r="Z253">
        <v>4.3</v>
      </c>
    </row>
    <row r="254" spans="1:26" x14ac:dyDescent="0.3">
      <c r="A254" t="s">
        <v>375</v>
      </c>
      <c r="B254" s="1">
        <v>46095</v>
      </c>
      <c r="C254" s="1">
        <v>46095</v>
      </c>
      <c r="D254" s="1">
        <v>46098</v>
      </c>
      <c r="E254" t="s">
        <v>92</v>
      </c>
      <c r="F254" t="s">
        <v>93</v>
      </c>
      <c r="G254" t="s">
        <v>94</v>
      </c>
      <c r="H254">
        <v>1520</v>
      </c>
      <c r="I254" t="s">
        <v>87</v>
      </c>
      <c r="J254">
        <v>5</v>
      </c>
      <c r="K254">
        <v>16720</v>
      </c>
      <c r="L254">
        <v>5</v>
      </c>
      <c r="M254" t="s">
        <v>243</v>
      </c>
      <c r="N254">
        <v>2</v>
      </c>
      <c r="O254">
        <v>3.4</v>
      </c>
      <c r="P254" t="s">
        <v>53</v>
      </c>
      <c r="Q254" t="s">
        <v>62</v>
      </c>
      <c r="R254" t="s">
        <v>34</v>
      </c>
      <c r="S254">
        <v>3</v>
      </c>
      <c r="T254">
        <v>3</v>
      </c>
      <c r="U254">
        <v>0</v>
      </c>
      <c r="V254" t="s">
        <v>35</v>
      </c>
      <c r="W254" t="s">
        <v>36</v>
      </c>
      <c r="X254" t="s">
        <v>47</v>
      </c>
      <c r="Y254" t="s">
        <v>33</v>
      </c>
      <c r="Z254">
        <v>3.1</v>
      </c>
    </row>
    <row r="255" spans="1:26" x14ac:dyDescent="0.3">
      <c r="A255" t="s">
        <v>376</v>
      </c>
      <c r="B255" s="1">
        <v>46047</v>
      </c>
      <c r="C255" s="1">
        <v>46048</v>
      </c>
      <c r="D255" s="1">
        <v>46050</v>
      </c>
      <c r="E255" t="s">
        <v>92</v>
      </c>
      <c r="F255" t="s">
        <v>93</v>
      </c>
      <c r="G255" t="s">
        <v>94</v>
      </c>
      <c r="H255">
        <v>1122</v>
      </c>
      <c r="I255" t="s">
        <v>30</v>
      </c>
      <c r="J255">
        <v>10</v>
      </c>
      <c r="K255">
        <v>12342</v>
      </c>
      <c r="L255">
        <v>7</v>
      </c>
      <c r="M255" t="s">
        <v>65</v>
      </c>
      <c r="N255">
        <v>10</v>
      </c>
      <c r="O255">
        <v>3.3</v>
      </c>
      <c r="P255" t="s">
        <v>66</v>
      </c>
      <c r="Q255" t="s">
        <v>62</v>
      </c>
      <c r="R255" t="s">
        <v>34</v>
      </c>
      <c r="S255">
        <v>2</v>
      </c>
      <c r="T255">
        <v>2</v>
      </c>
      <c r="U255">
        <v>0</v>
      </c>
      <c r="V255" t="s">
        <v>35</v>
      </c>
      <c r="W255" t="s">
        <v>68</v>
      </c>
      <c r="X255" t="s">
        <v>37</v>
      </c>
      <c r="Y255" t="s">
        <v>38</v>
      </c>
      <c r="Z255">
        <v>4.4000000000000004</v>
      </c>
    </row>
    <row r="256" spans="1:26" x14ac:dyDescent="0.3">
      <c r="A256" t="s">
        <v>377</v>
      </c>
      <c r="B256" s="1">
        <v>46105</v>
      </c>
      <c r="C256" s="1">
        <v>46106</v>
      </c>
      <c r="D256" s="1">
        <v>46112</v>
      </c>
      <c r="E256" t="s">
        <v>57</v>
      </c>
      <c r="F256" t="s">
        <v>58</v>
      </c>
      <c r="G256" t="s">
        <v>59</v>
      </c>
      <c r="H256">
        <v>936</v>
      </c>
      <c r="I256" t="s">
        <v>60</v>
      </c>
      <c r="J256">
        <v>6</v>
      </c>
      <c r="K256">
        <v>8424</v>
      </c>
      <c r="L256">
        <v>8</v>
      </c>
      <c r="M256" t="s">
        <v>128</v>
      </c>
      <c r="N256">
        <v>6</v>
      </c>
      <c r="O256">
        <v>4.5</v>
      </c>
      <c r="P256" t="s">
        <v>53</v>
      </c>
      <c r="Q256" t="s">
        <v>33</v>
      </c>
      <c r="R256" t="s">
        <v>67</v>
      </c>
      <c r="S256">
        <v>2</v>
      </c>
      <c r="T256">
        <v>6</v>
      </c>
      <c r="U256">
        <v>4</v>
      </c>
      <c r="V256" t="s">
        <v>46</v>
      </c>
      <c r="W256" t="s">
        <v>36</v>
      </c>
      <c r="X256" t="s">
        <v>47</v>
      </c>
      <c r="Y256" t="s">
        <v>38</v>
      </c>
      <c r="Z256">
        <v>4.8</v>
      </c>
    </row>
    <row r="257" spans="1:26" x14ac:dyDescent="0.3">
      <c r="A257" t="s">
        <v>378</v>
      </c>
      <c r="B257" s="1">
        <v>46048</v>
      </c>
      <c r="C257" s="1">
        <v>46049</v>
      </c>
      <c r="D257" s="1">
        <v>46054</v>
      </c>
      <c r="E257" t="s">
        <v>72</v>
      </c>
      <c r="F257" t="s">
        <v>73</v>
      </c>
      <c r="G257" t="s">
        <v>74</v>
      </c>
      <c r="H257">
        <v>1689</v>
      </c>
      <c r="I257" t="s">
        <v>87</v>
      </c>
      <c r="J257">
        <v>1</v>
      </c>
      <c r="K257">
        <v>20268</v>
      </c>
      <c r="L257">
        <v>9</v>
      </c>
      <c r="M257" t="s">
        <v>222</v>
      </c>
      <c r="N257">
        <v>1</v>
      </c>
      <c r="O257">
        <v>4.5999999999999996</v>
      </c>
      <c r="P257" t="s">
        <v>53</v>
      </c>
      <c r="Q257" t="s">
        <v>33</v>
      </c>
      <c r="R257" t="s">
        <v>67</v>
      </c>
      <c r="S257">
        <v>3</v>
      </c>
      <c r="T257">
        <v>5</v>
      </c>
      <c r="U257">
        <v>2</v>
      </c>
      <c r="V257" t="s">
        <v>46</v>
      </c>
      <c r="W257" t="s">
        <v>55</v>
      </c>
      <c r="X257" t="s">
        <v>76</v>
      </c>
      <c r="Y257" t="s">
        <v>62</v>
      </c>
      <c r="Z257">
        <v>4.3</v>
      </c>
    </row>
    <row r="258" spans="1:26" x14ac:dyDescent="0.3">
      <c r="A258" t="s">
        <v>379</v>
      </c>
      <c r="B258" s="1">
        <v>46042</v>
      </c>
      <c r="C258" s="1">
        <v>46043</v>
      </c>
      <c r="D258" s="1">
        <v>46046</v>
      </c>
      <c r="E258" t="s">
        <v>111</v>
      </c>
      <c r="F258" t="s">
        <v>27</v>
      </c>
      <c r="G258" t="s">
        <v>112</v>
      </c>
      <c r="H258">
        <v>657</v>
      </c>
      <c r="I258" t="s">
        <v>30</v>
      </c>
      <c r="J258">
        <v>3</v>
      </c>
      <c r="K258">
        <v>5913</v>
      </c>
      <c r="L258">
        <v>9</v>
      </c>
      <c r="M258" t="s">
        <v>186</v>
      </c>
      <c r="N258">
        <v>2</v>
      </c>
      <c r="O258">
        <v>3.8</v>
      </c>
      <c r="P258" t="s">
        <v>32</v>
      </c>
      <c r="Q258" t="s">
        <v>33</v>
      </c>
      <c r="R258" t="s">
        <v>67</v>
      </c>
      <c r="S258">
        <v>1</v>
      </c>
      <c r="T258">
        <v>3</v>
      </c>
      <c r="U258">
        <v>2</v>
      </c>
      <c r="V258" t="s">
        <v>46</v>
      </c>
      <c r="W258" t="s">
        <v>36</v>
      </c>
      <c r="X258" t="s">
        <v>95</v>
      </c>
      <c r="Y258" t="s">
        <v>38</v>
      </c>
      <c r="Z258">
        <v>3.4</v>
      </c>
    </row>
    <row r="259" spans="1:26" x14ac:dyDescent="0.3">
      <c r="A259" t="s">
        <v>380</v>
      </c>
      <c r="B259" s="1">
        <v>46095</v>
      </c>
      <c r="C259" s="1">
        <v>46097</v>
      </c>
      <c r="D259" s="1">
        <v>46100</v>
      </c>
      <c r="E259" t="s">
        <v>82</v>
      </c>
      <c r="F259" t="s">
        <v>83</v>
      </c>
      <c r="G259" t="s">
        <v>84</v>
      </c>
      <c r="H259">
        <v>1707</v>
      </c>
      <c r="I259" t="s">
        <v>43</v>
      </c>
      <c r="J259">
        <v>6</v>
      </c>
      <c r="K259">
        <v>10242</v>
      </c>
      <c r="L259">
        <v>6</v>
      </c>
      <c r="M259" t="s">
        <v>190</v>
      </c>
      <c r="N259">
        <v>8</v>
      </c>
      <c r="O259">
        <v>3.5</v>
      </c>
      <c r="P259" t="s">
        <v>66</v>
      </c>
      <c r="Q259" t="s">
        <v>62</v>
      </c>
      <c r="R259" t="s">
        <v>67</v>
      </c>
      <c r="S259">
        <v>3</v>
      </c>
      <c r="T259">
        <v>3</v>
      </c>
      <c r="U259">
        <v>0</v>
      </c>
      <c r="V259" t="s">
        <v>35</v>
      </c>
      <c r="W259" t="s">
        <v>55</v>
      </c>
      <c r="X259" t="s">
        <v>47</v>
      </c>
      <c r="Y259" t="s">
        <v>62</v>
      </c>
      <c r="Z259">
        <v>3.9</v>
      </c>
    </row>
    <row r="260" spans="1:26" x14ac:dyDescent="0.3">
      <c r="A260" t="s">
        <v>381</v>
      </c>
      <c r="B260" s="1">
        <v>46081</v>
      </c>
      <c r="C260" s="1">
        <v>46081</v>
      </c>
      <c r="D260" s="1">
        <v>46087</v>
      </c>
      <c r="E260" t="s">
        <v>27</v>
      </c>
      <c r="F260" t="s">
        <v>28</v>
      </c>
      <c r="G260" t="s">
        <v>29</v>
      </c>
      <c r="H260">
        <v>1528</v>
      </c>
      <c r="I260" t="s">
        <v>30</v>
      </c>
      <c r="J260">
        <v>2</v>
      </c>
      <c r="K260">
        <v>16808</v>
      </c>
      <c r="L260">
        <v>9</v>
      </c>
      <c r="M260" t="s">
        <v>222</v>
      </c>
      <c r="N260">
        <v>14</v>
      </c>
      <c r="O260">
        <v>3.5</v>
      </c>
      <c r="P260" t="s">
        <v>66</v>
      </c>
      <c r="Q260" t="s">
        <v>33</v>
      </c>
      <c r="R260" t="s">
        <v>54</v>
      </c>
      <c r="S260">
        <v>3</v>
      </c>
      <c r="T260">
        <v>6</v>
      </c>
      <c r="U260">
        <v>3</v>
      </c>
      <c r="V260" t="s">
        <v>46</v>
      </c>
      <c r="W260" t="s">
        <v>68</v>
      </c>
      <c r="X260" t="s">
        <v>76</v>
      </c>
      <c r="Y260" t="s">
        <v>33</v>
      </c>
      <c r="Z260">
        <v>4.8</v>
      </c>
    </row>
    <row r="261" spans="1:26" x14ac:dyDescent="0.3">
      <c r="A261" t="s">
        <v>382</v>
      </c>
      <c r="B261" s="1">
        <v>46032</v>
      </c>
      <c r="C261" s="1">
        <v>46034</v>
      </c>
      <c r="D261" s="1">
        <v>46037</v>
      </c>
      <c r="E261" t="s">
        <v>57</v>
      </c>
      <c r="F261" t="s">
        <v>58</v>
      </c>
      <c r="G261" t="s">
        <v>59</v>
      </c>
      <c r="H261">
        <v>970</v>
      </c>
      <c r="I261" t="s">
        <v>60</v>
      </c>
      <c r="J261">
        <v>9</v>
      </c>
      <c r="K261">
        <v>8730</v>
      </c>
      <c r="L261">
        <v>7</v>
      </c>
      <c r="M261" t="s">
        <v>178</v>
      </c>
      <c r="N261">
        <v>8</v>
      </c>
      <c r="O261">
        <v>4.5999999999999996</v>
      </c>
      <c r="P261" t="s">
        <v>32</v>
      </c>
      <c r="Q261" t="s">
        <v>33</v>
      </c>
      <c r="R261" t="s">
        <v>67</v>
      </c>
      <c r="S261">
        <v>2</v>
      </c>
      <c r="T261">
        <v>3</v>
      </c>
      <c r="U261">
        <v>1</v>
      </c>
      <c r="V261" t="s">
        <v>46</v>
      </c>
      <c r="W261" t="s">
        <v>36</v>
      </c>
      <c r="X261" t="s">
        <v>63</v>
      </c>
      <c r="Y261" t="s">
        <v>33</v>
      </c>
      <c r="Z261">
        <v>4.3</v>
      </c>
    </row>
    <row r="262" spans="1:26" x14ac:dyDescent="0.3">
      <c r="A262" t="s">
        <v>383</v>
      </c>
      <c r="B262" s="1">
        <v>46050</v>
      </c>
      <c r="C262" s="1">
        <v>46050</v>
      </c>
      <c r="D262" s="1">
        <v>46054</v>
      </c>
      <c r="E262" t="s">
        <v>82</v>
      </c>
      <c r="F262" t="s">
        <v>83</v>
      </c>
      <c r="G262" t="s">
        <v>84</v>
      </c>
      <c r="H262">
        <v>522</v>
      </c>
      <c r="I262" t="s">
        <v>30</v>
      </c>
      <c r="J262">
        <v>10</v>
      </c>
      <c r="K262">
        <v>5742</v>
      </c>
      <c r="L262">
        <v>5</v>
      </c>
      <c r="M262" t="s">
        <v>103</v>
      </c>
      <c r="N262">
        <v>4</v>
      </c>
      <c r="O262">
        <v>3.8</v>
      </c>
      <c r="P262" t="s">
        <v>66</v>
      </c>
      <c r="Q262" t="s">
        <v>33</v>
      </c>
      <c r="R262" t="s">
        <v>67</v>
      </c>
      <c r="S262">
        <v>1</v>
      </c>
      <c r="T262">
        <v>4</v>
      </c>
      <c r="U262">
        <v>3</v>
      </c>
      <c r="V262" t="s">
        <v>46</v>
      </c>
      <c r="W262" t="s">
        <v>68</v>
      </c>
      <c r="X262" t="s">
        <v>37</v>
      </c>
      <c r="Y262" t="s">
        <v>33</v>
      </c>
      <c r="Z262">
        <v>3.3</v>
      </c>
    </row>
    <row r="263" spans="1:26" x14ac:dyDescent="0.3">
      <c r="A263" t="s">
        <v>384</v>
      </c>
      <c r="B263" s="1">
        <v>46129</v>
      </c>
      <c r="C263" s="1">
        <v>46130</v>
      </c>
      <c r="D263" s="1">
        <v>46131</v>
      </c>
      <c r="E263" t="s">
        <v>27</v>
      </c>
      <c r="F263" t="s">
        <v>28</v>
      </c>
      <c r="G263" t="s">
        <v>29</v>
      </c>
      <c r="H263">
        <v>699</v>
      </c>
      <c r="I263" t="s">
        <v>87</v>
      </c>
      <c r="J263">
        <v>3</v>
      </c>
      <c r="K263">
        <v>6990</v>
      </c>
      <c r="L263">
        <v>9</v>
      </c>
      <c r="M263" t="s">
        <v>101</v>
      </c>
      <c r="N263">
        <v>3</v>
      </c>
      <c r="O263">
        <v>4.3</v>
      </c>
      <c r="P263" t="s">
        <v>32</v>
      </c>
      <c r="Q263" t="s">
        <v>33</v>
      </c>
      <c r="R263" t="s">
        <v>67</v>
      </c>
      <c r="S263">
        <v>1</v>
      </c>
      <c r="T263">
        <v>1</v>
      </c>
      <c r="U263">
        <v>0</v>
      </c>
      <c r="V263" t="s">
        <v>35</v>
      </c>
      <c r="W263" t="s">
        <v>68</v>
      </c>
      <c r="X263" t="s">
        <v>37</v>
      </c>
      <c r="Y263" t="s">
        <v>33</v>
      </c>
      <c r="Z263">
        <v>4.9000000000000004</v>
      </c>
    </row>
    <row r="264" spans="1:26" x14ac:dyDescent="0.3">
      <c r="A264" t="s">
        <v>385</v>
      </c>
      <c r="B264" s="1">
        <v>46099</v>
      </c>
      <c r="C264" s="1">
        <v>46101</v>
      </c>
      <c r="D264" s="1">
        <v>46105</v>
      </c>
      <c r="E264" t="s">
        <v>27</v>
      </c>
      <c r="F264" t="s">
        <v>28</v>
      </c>
      <c r="G264" t="s">
        <v>29</v>
      </c>
      <c r="H264">
        <v>1673</v>
      </c>
      <c r="I264" t="s">
        <v>30</v>
      </c>
      <c r="J264">
        <v>2</v>
      </c>
      <c r="K264">
        <v>11711</v>
      </c>
      <c r="L264">
        <v>8</v>
      </c>
      <c r="M264" t="s">
        <v>269</v>
      </c>
      <c r="N264">
        <v>8</v>
      </c>
      <c r="O264">
        <v>4.7</v>
      </c>
      <c r="P264" t="s">
        <v>45</v>
      </c>
      <c r="Q264" t="s">
        <v>38</v>
      </c>
      <c r="R264" t="s">
        <v>34</v>
      </c>
      <c r="S264">
        <v>3</v>
      </c>
      <c r="T264">
        <v>4</v>
      </c>
      <c r="U264">
        <v>1</v>
      </c>
      <c r="V264" t="s">
        <v>46</v>
      </c>
      <c r="W264" t="s">
        <v>55</v>
      </c>
      <c r="X264" t="s">
        <v>37</v>
      </c>
      <c r="Y264" t="s">
        <v>33</v>
      </c>
      <c r="Z264">
        <v>4.3</v>
      </c>
    </row>
    <row r="265" spans="1:26" x14ac:dyDescent="0.3">
      <c r="A265" t="s">
        <v>386</v>
      </c>
      <c r="B265" s="1">
        <v>46056</v>
      </c>
      <c r="C265" s="1">
        <v>46056</v>
      </c>
      <c r="D265" s="1">
        <v>46058</v>
      </c>
      <c r="E265" t="s">
        <v>49</v>
      </c>
      <c r="F265" t="s">
        <v>50</v>
      </c>
      <c r="G265" t="s">
        <v>51</v>
      </c>
      <c r="H265">
        <v>1128</v>
      </c>
      <c r="I265" t="s">
        <v>87</v>
      </c>
      <c r="J265">
        <v>4</v>
      </c>
      <c r="K265">
        <v>10152</v>
      </c>
      <c r="L265">
        <v>8</v>
      </c>
      <c r="M265" t="s">
        <v>147</v>
      </c>
      <c r="N265">
        <v>2</v>
      </c>
      <c r="O265">
        <v>3</v>
      </c>
      <c r="P265" t="s">
        <v>53</v>
      </c>
      <c r="Q265" t="s">
        <v>38</v>
      </c>
      <c r="R265" t="s">
        <v>54</v>
      </c>
      <c r="S265">
        <v>2</v>
      </c>
      <c r="T265">
        <v>2</v>
      </c>
      <c r="U265">
        <v>0</v>
      </c>
      <c r="V265" t="s">
        <v>35</v>
      </c>
      <c r="W265" t="s">
        <v>68</v>
      </c>
      <c r="X265" t="s">
        <v>76</v>
      </c>
      <c r="Y265" t="s">
        <v>33</v>
      </c>
      <c r="Z265">
        <v>3.1</v>
      </c>
    </row>
    <row r="266" spans="1:26" x14ac:dyDescent="0.3">
      <c r="A266" t="s">
        <v>387</v>
      </c>
      <c r="B266" s="1">
        <v>46123</v>
      </c>
      <c r="C266" s="1">
        <v>46125</v>
      </c>
      <c r="D266" s="1">
        <v>46129</v>
      </c>
      <c r="E266" t="s">
        <v>72</v>
      </c>
      <c r="F266" t="s">
        <v>73</v>
      </c>
      <c r="G266" t="s">
        <v>74</v>
      </c>
      <c r="H266">
        <v>390</v>
      </c>
      <c r="I266" t="s">
        <v>43</v>
      </c>
      <c r="J266">
        <v>3</v>
      </c>
      <c r="K266">
        <v>3900</v>
      </c>
      <c r="L266">
        <v>9</v>
      </c>
      <c r="M266" t="s">
        <v>158</v>
      </c>
      <c r="N266">
        <v>15</v>
      </c>
      <c r="O266">
        <v>4.9000000000000004</v>
      </c>
      <c r="P266" t="s">
        <v>53</v>
      </c>
      <c r="Q266" t="s">
        <v>33</v>
      </c>
      <c r="R266" t="s">
        <v>34</v>
      </c>
      <c r="S266">
        <v>1</v>
      </c>
      <c r="T266">
        <v>4</v>
      </c>
      <c r="U266">
        <v>3</v>
      </c>
      <c r="V266" t="s">
        <v>46</v>
      </c>
      <c r="W266" t="s">
        <v>36</v>
      </c>
      <c r="X266" t="s">
        <v>95</v>
      </c>
      <c r="Y266" t="s">
        <v>62</v>
      </c>
      <c r="Z266">
        <v>3.7</v>
      </c>
    </row>
    <row r="267" spans="1:26" x14ac:dyDescent="0.3">
      <c r="A267" t="s">
        <v>388</v>
      </c>
      <c r="B267" s="1">
        <v>46125</v>
      </c>
      <c r="C267" s="1">
        <v>46127</v>
      </c>
      <c r="D267" s="1">
        <v>46129</v>
      </c>
      <c r="E267" t="s">
        <v>72</v>
      </c>
      <c r="F267" t="s">
        <v>73</v>
      </c>
      <c r="G267" t="s">
        <v>74</v>
      </c>
      <c r="H267">
        <v>1071</v>
      </c>
      <c r="I267" t="s">
        <v>60</v>
      </c>
      <c r="J267">
        <v>5</v>
      </c>
      <c r="K267">
        <v>9639</v>
      </c>
      <c r="L267">
        <v>6</v>
      </c>
      <c r="M267" t="s">
        <v>109</v>
      </c>
      <c r="N267">
        <v>5</v>
      </c>
      <c r="O267">
        <v>4.2</v>
      </c>
      <c r="P267" t="s">
        <v>53</v>
      </c>
      <c r="Q267" t="s">
        <v>62</v>
      </c>
      <c r="R267" t="s">
        <v>67</v>
      </c>
      <c r="S267">
        <v>2</v>
      </c>
      <c r="T267">
        <v>2</v>
      </c>
      <c r="U267">
        <v>0</v>
      </c>
      <c r="V267" t="s">
        <v>35</v>
      </c>
      <c r="W267" t="s">
        <v>55</v>
      </c>
      <c r="X267" t="s">
        <v>76</v>
      </c>
      <c r="Y267" t="s">
        <v>38</v>
      </c>
      <c r="Z267">
        <v>4</v>
      </c>
    </row>
    <row r="268" spans="1:26" x14ac:dyDescent="0.3">
      <c r="A268" t="s">
        <v>389</v>
      </c>
      <c r="B268" s="1">
        <v>46071</v>
      </c>
      <c r="C268" s="1">
        <v>46073</v>
      </c>
      <c r="D268" s="1">
        <v>46078</v>
      </c>
      <c r="E268" t="s">
        <v>40</v>
      </c>
      <c r="F268" t="s">
        <v>41</v>
      </c>
      <c r="G268" t="s">
        <v>42</v>
      </c>
      <c r="H268">
        <v>1608</v>
      </c>
      <c r="I268" t="s">
        <v>30</v>
      </c>
      <c r="J268">
        <v>7</v>
      </c>
      <c r="K268">
        <v>12864</v>
      </c>
      <c r="L268">
        <v>5</v>
      </c>
      <c r="M268" t="s">
        <v>70</v>
      </c>
      <c r="N268">
        <v>7</v>
      </c>
      <c r="O268">
        <v>4.3</v>
      </c>
      <c r="P268" t="s">
        <v>66</v>
      </c>
      <c r="Q268" t="s">
        <v>62</v>
      </c>
      <c r="R268" t="s">
        <v>54</v>
      </c>
      <c r="S268">
        <v>3</v>
      </c>
      <c r="T268">
        <v>5</v>
      </c>
      <c r="U268">
        <v>2</v>
      </c>
      <c r="V268" t="s">
        <v>46</v>
      </c>
      <c r="W268" t="s">
        <v>55</v>
      </c>
      <c r="X268" t="s">
        <v>47</v>
      </c>
      <c r="Y268" t="s">
        <v>33</v>
      </c>
      <c r="Z268">
        <v>3.8</v>
      </c>
    </row>
    <row r="269" spans="1:26" x14ac:dyDescent="0.3">
      <c r="A269" t="s">
        <v>390</v>
      </c>
      <c r="B269" s="1">
        <v>46049</v>
      </c>
      <c r="C269" s="1">
        <v>46050</v>
      </c>
      <c r="D269" s="1">
        <v>46052</v>
      </c>
      <c r="E269" t="s">
        <v>92</v>
      </c>
      <c r="F269" t="s">
        <v>93</v>
      </c>
      <c r="G269" t="s">
        <v>94</v>
      </c>
      <c r="H269">
        <v>566</v>
      </c>
      <c r="I269" t="s">
        <v>30</v>
      </c>
      <c r="J269">
        <v>9</v>
      </c>
      <c r="K269">
        <v>5660</v>
      </c>
      <c r="L269">
        <v>8</v>
      </c>
      <c r="M269" t="s">
        <v>243</v>
      </c>
      <c r="N269">
        <v>5</v>
      </c>
      <c r="O269">
        <v>4.2</v>
      </c>
      <c r="P269" t="s">
        <v>53</v>
      </c>
      <c r="Q269" t="s">
        <v>33</v>
      </c>
      <c r="R269" t="s">
        <v>67</v>
      </c>
      <c r="S269">
        <v>1</v>
      </c>
      <c r="T269">
        <v>2</v>
      </c>
      <c r="U269">
        <v>1</v>
      </c>
      <c r="V269" t="s">
        <v>46</v>
      </c>
      <c r="W269" t="s">
        <v>68</v>
      </c>
      <c r="X269" t="s">
        <v>37</v>
      </c>
      <c r="Y269" t="s">
        <v>38</v>
      </c>
      <c r="Z269">
        <v>3.4</v>
      </c>
    </row>
    <row r="270" spans="1:26" x14ac:dyDescent="0.3">
      <c r="A270" t="s">
        <v>391</v>
      </c>
      <c r="B270" s="1">
        <v>46074</v>
      </c>
      <c r="C270" s="1">
        <v>46075</v>
      </c>
      <c r="D270" s="1">
        <v>46076</v>
      </c>
      <c r="E270" t="s">
        <v>27</v>
      </c>
      <c r="F270" t="s">
        <v>28</v>
      </c>
      <c r="G270" t="s">
        <v>29</v>
      </c>
      <c r="H270">
        <v>529</v>
      </c>
      <c r="I270" t="s">
        <v>43</v>
      </c>
      <c r="J270">
        <v>1</v>
      </c>
      <c r="K270">
        <v>6348</v>
      </c>
      <c r="L270">
        <v>5</v>
      </c>
      <c r="M270" t="s">
        <v>70</v>
      </c>
      <c r="N270">
        <v>8</v>
      </c>
      <c r="O270">
        <v>4.9000000000000004</v>
      </c>
      <c r="P270" t="s">
        <v>53</v>
      </c>
      <c r="Q270" t="s">
        <v>38</v>
      </c>
      <c r="R270" t="s">
        <v>67</v>
      </c>
      <c r="S270">
        <v>1</v>
      </c>
      <c r="T270">
        <v>1</v>
      </c>
      <c r="U270">
        <v>0</v>
      </c>
      <c r="V270" t="s">
        <v>35</v>
      </c>
      <c r="W270" t="s">
        <v>68</v>
      </c>
      <c r="X270" t="s">
        <v>63</v>
      </c>
      <c r="Y270" t="s">
        <v>33</v>
      </c>
      <c r="Z270">
        <v>3.1</v>
      </c>
    </row>
    <row r="271" spans="1:26" x14ac:dyDescent="0.3">
      <c r="A271" t="s">
        <v>392</v>
      </c>
      <c r="B271" s="1">
        <v>46072</v>
      </c>
      <c r="C271" s="1">
        <v>46073</v>
      </c>
      <c r="D271" s="1">
        <v>46077</v>
      </c>
      <c r="E271" t="s">
        <v>57</v>
      </c>
      <c r="F271" t="s">
        <v>58</v>
      </c>
      <c r="G271" t="s">
        <v>59</v>
      </c>
      <c r="H271">
        <v>1657</v>
      </c>
      <c r="I271" t="s">
        <v>87</v>
      </c>
      <c r="J271">
        <v>3</v>
      </c>
      <c r="K271">
        <v>18227</v>
      </c>
      <c r="L271">
        <v>8</v>
      </c>
      <c r="M271" t="s">
        <v>128</v>
      </c>
      <c r="N271">
        <v>1</v>
      </c>
      <c r="O271">
        <v>3.4</v>
      </c>
      <c r="P271" t="s">
        <v>66</v>
      </c>
      <c r="Q271" t="s">
        <v>38</v>
      </c>
      <c r="R271" t="s">
        <v>67</v>
      </c>
      <c r="S271">
        <v>3</v>
      </c>
      <c r="T271">
        <v>4</v>
      </c>
      <c r="U271">
        <v>1</v>
      </c>
      <c r="V271" t="s">
        <v>46</v>
      </c>
      <c r="W271" t="s">
        <v>55</v>
      </c>
      <c r="X271" t="s">
        <v>37</v>
      </c>
      <c r="Y271" t="s">
        <v>33</v>
      </c>
      <c r="Z271">
        <v>3.1</v>
      </c>
    </row>
    <row r="272" spans="1:26" x14ac:dyDescent="0.3">
      <c r="A272" t="s">
        <v>393</v>
      </c>
      <c r="B272" s="1">
        <v>46053</v>
      </c>
      <c r="C272" s="1">
        <v>46055</v>
      </c>
      <c r="D272" s="1">
        <v>46058</v>
      </c>
      <c r="E272" t="s">
        <v>27</v>
      </c>
      <c r="F272" t="s">
        <v>28</v>
      </c>
      <c r="G272" t="s">
        <v>29</v>
      </c>
      <c r="H272">
        <v>522</v>
      </c>
      <c r="I272" t="s">
        <v>87</v>
      </c>
      <c r="J272">
        <v>5</v>
      </c>
      <c r="K272">
        <v>6264</v>
      </c>
      <c r="L272">
        <v>8</v>
      </c>
      <c r="M272" t="s">
        <v>178</v>
      </c>
      <c r="N272">
        <v>11</v>
      </c>
      <c r="O272">
        <v>3.8</v>
      </c>
      <c r="P272" t="s">
        <v>45</v>
      </c>
      <c r="Q272" t="s">
        <v>33</v>
      </c>
      <c r="R272" t="s">
        <v>67</v>
      </c>
      <c r="S272">
        <v>1</v>
      </c>
      <c r="T272">
        <v>3</v>
      </c>
      <c r="U272">
        <v>2</v>
      </c>
      <c r="V272" t="s">
        <v>46</v>
      </c>
      <c r="W272" t="s">
        <v>68</v>
      </c>
      <c r="X272" t="s">
        <v>76</v>
      </c>
      <c r="Y272" t="s">
        <v>33</v>
      </c>
      <c r="Z272">
        <v>3.7</v>
      </c>
    </row>
    <row r="273" spans="1:26" x14ac:dyDescent="0.3">
      <c r="A273" t="s">
        <v>394</v>
      </c>
      <c r="B273" s="1">
        <v>46127</v>
      </c>
      <c r="C273" s="1">
        <v>46128</v>
      </c>
      <c r="D273" s="1">
        <v>46133</v>
      </c>
      <c r="E273" t="s">
        <v>40</v>
      </c>
      <c r="F273" t="s">
        <v>41</v>
      </c>
      <c r="G273" t="s">
        <v>42</v>
      </c>
      <c r="H273">
        <v>1441</v>
      </c>
      <c r="I273" t="s">
        <v>60</v>
      </c>
      <c r="J273">
        <v>8</v>
      </c>
      <c r="K273">
        <v>12969</v>
      </c>
      <c r="L273">
        <v>9</v>
      </c>
      <c r="M273" t="s">
        <v>158</v>
      </c>
      <c r="N273">
        <v>5</v>
      </c>
      <c r="O273">
        <v>3.4</v>
      </c>
      <c r="P273" t="s">
        <v>32</v>
      </c>
      <c r="Q273" t="s">
        <v>33</v>
      </c>
      <c r="R273" t="s">
        <v>67</v>
      </c>
      <c r="S273">
        <v>3</v>
      </c>
      <c r="T273">
        <v>5</v>
      </c>
      <c r="U273">
        <v>2</v>
      </c>
      <c r="V273" t="s">
        <v>46</v>
      </c>
      <c r="W273" t="s">
        <v>36</v>
      </c>
      <c r="X273" t="s">
        <v>76</v>
      </c>
      <c r="Y273" t="s">
        <v>62</v>
      </c>
      <c r="Z273">
        <v>4.8</v>
      </c>
    </row>
    <row r="274" spans="1:26" x14ac:dyDescent="0.3">
      <c r="A274" t="s">
        <v>395</v>
      </c>
      <c r="B274" s="1">
        <v>46127</v>
      </c>
      <c r="C274" s="1">
        <v>46129</v>
      </c>
      <c r="D274" s="1">
        <v>46132</v>
      </c>
      <c r="E274" t="s">
        <v>57</v>
      </c>
      <c r="F274" t="s">
        <v>58</v>
      </c>
      <c r="G274" t="s">
        <v>59</v>
      </c>
      <c r="H274">
        <v>1621</v>
      </c>
      <c r="I274" t="s">
        <v>43</v>
      </c>
      <c r="J274">
        <v>7</v>
      </c>
      <c r="K274">
        <v>16210</v>
      </c>
      <c r="L274">
        <v>8</v>
      </c>
      <c r="M274" t="s">
        <v>170</v>
      </c>
      <c r="N274">
        <v>4</v>
      </c>
      <c r="O274">
        <v>4.5</v>
      </c>
      <c r="P274" t="s">
        <v>53</v>
      </c>
      <c r="Q274" t="s">
        <v>33</v>
      </c>
      <c r="R274" t="s">
        <v>34</v>
      </c>
      <c r="S274">
        <v>3</v>
      </c>
      <c r="T274">
        <v>3</v>
      </c>
      <c r="U274">
        <v>0</v>
      </c>
      <c r="V274" t="s">
        <v>35</v>
      </c>
      <c r="W274" t="s">
        <v>68</v>
      </c>
      <c r="X274" t="s">
        <v>63</v>
      </c>
      <c r="Y274" t="s">
        <v>62</v>
      </c>
      <c r="Z274">
        <v>4.3</v>
      </c>
    </row>
    <row r="275" spans="1:26" x14ac:dyDescent="0.3">
      <c r="A275" t="s">
        <v>396</v>
      </c>
      <c r="B275" s="1">
        <v>46051</v>
      </c>
      <c r="C275" s="1">
        <v>46053</v>
      </c>
      <c r="D275" s="1">
        <v>46056</v>
      </c>
      <c r="E275" t="s">
        <v>40</v>
      </c>
      <c r="F275" t="s">
        <v>41</v>
      </c>
      <c r="G275" t="s">
        <v>42</v>
      </c>
      <c r="H275">
        <v>846</v>
      </c>
      <c r="I275" t="s">
        <v>43</v>
      </c>
      <c r="J275">
        <v>6</v>
      </c>
      <c r="K275">
        <v>8460</v>
      </c>
      <c r="L275">
        <v>9</v>
      </c>
      <c r="M275" t="s">
        <v>158</v>
      </c>
      <c r="N275">
        <v>12</v>
      </c>
      <c r="O275">
        <v>4.7</v>
      </c>
      <c r="P275" t="s">
        <v>45</v>
      </c>
      <c r="Q275" t="s">
        <v>62</v>
      </c>
      <c r="R275" t="s">
        <v>67</v>
      </c>
      <c r="S275">
        <v>1</v>
      </c>
      <c r="T275">
        <v>3</v>
      </c>
      <c r="U275">
        <v>2</v>
      </c>
      <c r="V275" t="s">
        <v>46</v>
      </c>
      <c r="W275" t="s">
        <v>55</v>
      </c>
      <c r="X275" t="s">
        <v>47</v>
      </c>
      <c r="Y275" t="s">
        <v>38</v>
      </c>
      <c r="Z275">
        <v>4.0999999999999996</v>
      </c>
    </row>
    <row r="276" spans="1:26" x14ac:dyDescent="0.3">
      <c r="A276" t="s">
        <v>397</v>
      </c>
      <c r="B276" s="1">
        <v>46045</v>
      </c>
      <c r="C276" s="1">
        <v>46046</v>
      </c>
      <c r="D276" s="1">
        <v>46049</v>
      </c>
      <c r="E276" t="s">
        <v>49</v>
      </c>
      <c r="F276" t="s">
        <v>50</v>
      </c>
      <c r="G276" t="s">
        <v>51</v>
      </c>
      <c r="H276">
        <v>924</v>
      </c>
      <c r="I276" t="s">
        <v>60</v>
      </c>
      <c r="J276">
        <v>10</v>
      </c>
      <c r="K276">
        <v>7392</v>
      </c>
      <c r="L276">
        <v>6</v>
      </c>
      <c r="M276" t="s">
        <v>31</v>
      </c>
      <c r="N276">
        <v>11</v>
      </c>
      <c r="O276">
        <v>4.9000000000000004</v>
      </c>
      <c r="P276" t="s">
        <v>45</v>
      </c>
      <c r="Q276" t="s">
        <v>62</v>
      </c>
      <c r="R276" t="s">
        <v>54</v>
      </c>
      <c r="S276">
        <v>2</v>
      </c>
      <c r="T276">
        <v>3</v>
      </c>
      <c r="U276">
        <v>1</v>
      </c>
      <c r="V276" t="s">
        <v>46</v>
      </c>
      <c r="W276" t="s">
        <v>55</v>
      </c>
      <c r="X276" t="s">
        <v>37</v>
      </c>
      <c r="Y276" t="s">
        <v>62</v>
      </c>
      <c r="Z276">
        <v>3.4</v>
      </c>
    </row>
    <row r="277" spans="1:26" x14ac:dyDescent="0.3">
      <c r="A277" t="s">
        <v>398</v>
      </c>
      <c r="B277" s="1">
        <v>46048</v>
      </c>
      <c r="C277" s="1">
        <v>46048</v>
      </c>
      <c r="D277" s="1">
        <v>46050</v>
      </c>
      <c r="E277" t="s">
        <v>49</v>
      </c>
      <c r="F277" t="s">
        <v>50</v>
      </c>
      <c r="G277" t="s">
        <v>51</v>
      </c>
      <c r="H277">
        <v>519</v>
      </c>
      <c r="I277" t="s">
        <v>87</v>
      </c>
      <c r="J277">
        <v>2</v>
      </c>
      <c r="K277">
        <v>3114</v>
      </c>
      <c r="L277">
        <v>10</v>
      </c>
      <c r="M277" t="s">
        <v>103</v>
      </c>
      <c r="N277">
        <v>8</v>
      </c>
      <c r="O277">
        <v>4.2</v>
      </c>
      <c r="P277" t="s">
        <v>32</v>
      </c>
      <c r="Q277" t="s">
        <v>62</v>
      </c>
      <c r="R277" t="s">
        <v>34</v>
      </c>
      <c r="S277">
        <v>1</v>
      </c>
      <c r="T277">
        <v>2</v>
      </c>
      <c r="U277">
        <v>1</v>
      </c>
      <c r="V277" t="s">
        <v>46</v>
      </c>
      <c r="W277" t="s">
        <v>68</v>
      </c>
      <c r="X277" t="s">
        <v>76</v>
      </c>
      <c r="Y277" t="s">
        <v>62</v>
      </c>
      <c r="Z277">
        <v>4</v>
      </c>
    </row>
    <row r="278" spans="1:26" x14ac:dyDescent="0.3">
      <c r="A278" t="s">
        <v>399</v>
      </c>
      <c r="B278" s="1">
        <v>46120</v>
      </c>
      <c r="C278" s="1">
        <v>46122</v>
      </c>
      <c r="D278" s="1">
        <v>46125</v>
      </c>
      <c r="E278" t="s">
        <v>57</v>
      </c>
      <c r="F278" t="s">
        <v>58</v>
      </c>
      <c r="G278" t="s">
        <v>59</v>
      </c>
      <c r="H278">
        <v>1014</v>
      </c>
      <c r="I278" t="s">
        <v>60</v>
      </c>
      <c r="J278">
        <v>10</v>
      </c>
      <c r="K278">
        <v>7098</v>
      </c>
      <c r="L278">
        <v>5</v>
      </c>
      <c r="M278" t="s">
        <v>85</v>
      </c>
      <c r="N278">
        <v>13</v>
      </c>
      <c r="O278">
        <v>3.8</v>
      </c>
      <c r="P278" t="s">
        <v>32</v>
      </c>
      <c r="Q278" t="s">
        <v>33</v>
      </c>
      <c r="R278" t="s">
        <v>34</v>
      </c>
      <c r="S278">
        <v>2</v>
      </c>
      <c r="T278">
        <v>3</v>
      </c>
      <c r="U278">
        <v>1</v>
      </c>
      <c r="V278" t="s">
        <v>46</v>
      </c>
      <c r="W278" t="s">
        <v>68</v>
      </c>
      <c r="X278" t="s">
        <v>63</v>
      </c>
      <c r="Y278" t="s">
        <v>33</v>
      </c>
      <c r="Z278">
        <v>4</v>
      </c>
    </row>
    <row r="279" spans="1:26" x14ac:dyDescent="0.3">
      <c r="A279" t="s">
        <v>400</v>
      </c>
      <c r="B279" s="1">
        <v>46063</v>
      </c>
      <c r="C279" s="1">
        <v>46065</v>
      </c>
      <c r="D279" s="1">
        <v>46067</v>
      </c>
      <c r="E279" t="s">
        <v>27</v>
      </c>
      <c r="F279" t="s">
        <v>28</v>
      </c>
      <c r="G279" t="s">
        <v>29</v>
      </c>
      <c r="H279">
        <v>224</v>
      </c>
      <c r="I279" t="s">
        <v>60</v>
      </c>
      <c r="J279">
        <v>7</v>
      </c>
      <c r="K279">
        <v>2240</v>
      </c>
      <c r="L279">
        <v>5</v>
      </c>
      <c r="M279" t="s">
        <v>226</v>
      </c>
      <c r="N279">
        <v>6</v>
      </c>
      <c r="O279">
        <v>4.2</v>
      </c>
      <c r="P279" t="s">
        <v>66</v>
      </c>
      <c r="Q279" t="s">
        <v>38</v>
      </c>
      <c r="R279" t="s">
        <v>54</v>
      </c>
      <c r="S279">
        <v>1</v>
      </c>
      <c r="T279">
        <v>2</v>
      </c>
      <c r="U279">
        <v>1</v>
      </c>
      <c r="V279" t="s">
        <v>46</v>
      </c>
      <c r="W279" t="s">
        <v>68</v>
      </c>
      <c r="X279" t="s">
        <v>95</v>
      </c>
      <c r="Y279" t="s">
        <v>33</v>
      </c>
      <c r="Z279">
        <v>3.7</v>
      </c>
    </row>
    <row r="280" spans="1:26" x14ac:dyDescent="0.3">
      <c r="A280" t="s">
        <v>401</v>
      </c>
      <c r="B280" s="1">
        <v>46046</v>
      </c>
      <c r="C280" s="1">
        <v>46047</v>
      </c>
      <c r="D280" s="1">
        <v>46050</v>
      </c>
      <c r="E280" t="s">
        <v>111</v>
      </c>
      <c r="F280" t="s">
        <v>27</v>
      </c>
      <c r="G280" t="s">
        <v>112</v>
      </c>
      <c r="H280">
        <v>631</v>
      </c>
      <c r="I280" t="s">
        <v>43</v>
      </c>
      <c r="J280">
        <v>6</v>
      </c>
      <c r="K280">
        <v>5048</v>
      </c>
      <c r="L280">
        <v>8</v>
      </c>
      <c r="M280" t="s">
        <v>44</v>
      </c>
      <c r="N280">
        <v>8</v>
      </c>
      <c r="O280">
        <v>3.4</v>
      </c>
      <c r="P280" t="s">
        <v>45</v>
      </c>
      <c r="Q280" t="s">
        <v>33</v>
      </c>
      <c r="R280" t="s">
        <v>54</v>
      </c>
      <c r="S280">
        <v>1</v>
      </c>
      <c r="T280">
        <v>3</v>
      </c>
      <c r="U280">
        <v>2</v>
      </c>
      <c r="V280" t="s">
        <v>46</v>
      </c>
      <c r="W280" t="s">
        <v>36</v>
      </c>
      <c r="X280" t="s">
        <v>76</v>
      </c>
      <c r="Y280" t="s">
        <v>62</v>
      </c>
      <c r="Z280">
        <v>4.7</v>
      </c>
    </row>
    <row r="281" spans="1:26" x14ac:dyDescent="0.3">
      <c r="A281" t="s">
        <v>402</v>
      </c>
      <c r="B281" s="1">
        <v>46048</v>
      </c>
      <c r="C281" s="1">
        <v>46048</v>
      </c>
      <c r="D281" s="1">
        <v>46052</v>
      </c>
      <c r="E281" t="s">
        <v>82</v>
      </c>
      <c r="F281" t="s">
        <v>83</v>
      </c>
      <c r="G281" t="s">
        <v>84</v>
      </c>
      <c r="H281">
        <v>1168</v>
      </c>
      <c r="I281" t="s">
        <v>87</v>
      </c>
      <c r="J281">
        <v>3</v>
      </c>
      <c r="K281">
        <v>10512</v>
      </c>
      <c r="L281">
        <v>8</v>
      </c>
      <c r="M281" t="s">
        <v>147</v>
      </c>
      <c r="N281">
        <v>15</v>
      </c>
      <c r="O281">
        <v>4.7</v>
      </c>
      <c r="P281" t="s">
        <v>66</v>
      </c>
      <c r="Q281" t="s">
        <v>62</v>
      </c>
      <c r="R281" t="s">
        <v>34</v>
      </c>
      <c r="S281">
        <v>2</v>
      </c>
      <c r="T281">
        <v>4</v>
      </c>
      <c r="U281">
        <v>2</v>
      </c>
      <c r="V281" t="s">
        <v>46</v>
      </c>
      <c r="W281" t="s">
        <v>55</v>
      </c>
      <c r="X281" t="s">
        <v>63</v>
      </c>
      <c r="Y281" t="s">
        <v>62</v>
      </c>
      <c r="Z281">
        <v>3.2</v>
      </c>
    </row>
    <row r="282" spans="1:26" x14ac:dyDescent="0.3">
      <c r="A282" t="s">
        <v>403</v>
      </c>
      <c r="B282" s="1">
        <v>46043</v>
      </c>
      <c r="C282" s="1">
        <v>46043</v>
      </c>
      <c r="D282" s="1">
        <v>46044</v>
      </c>
      <c r="E282" t="s">
        <v>40</v>
      </c>
      <c r="F282" t="s">
        <v>41</v>
      </c>
      <c r="G282" t="s">
        <v>42</v>
      </c>
      <c r="H282">
        <v>720</v>
      </c>
      <c r="I282" t="s">
        <v>43</v>
      </c>
      <c r="J282">
        <v>2</v>
      </c>
      <c r="K282">
        <v>6480</v>
      </c>
      <c r="L282">
        <v>10</v>
      </c>
      <c r="M282" t="s">
        <v>143</v>
      </c>
      <c r="N282">
        <v>5</v>
      </c>
      <c r="O282">
        <v>3.7</v>
      </c>
      <c r="P282" t="s">
        <v>66</v>
      </c>
      <c r="Q282" t="s">
        <v>62</v>
      </c>
      <c r="R282" t="s">
        <v>67</v>
      </c>
      <c r="S282">
        <v>1</v>
      </c>
      <c r="T282">
        <v>1</v>
      </c>
      <c r="U282">
        <v>0</v>
      </c>
      <c r="V282" t="s">
        <v>35</v>
      </c>
      <c r="W282" t="s">
        <v>68</v>
      </c>
      <c r="X282" t="s">
        <v>76</v>
      </c>
      <c r="Y282" t="s">
        <v>38</v>
      </c>
      <c r="Z282">
        <v>4.2</v>
      </c>
    </row>
    <row r="283" spans="1:26" x14ac:dyDescent="0.3">
      <c r="A283" t="s">
        <v>404</v>
      </c>
      <c r="B283" s="1">
        <v>46106</v>
      </c>
      <c r="C283" s="1">
        <v>46108</v>
      </c>
      <c r="D283" s="1">
        <v>46113</v>
      </c>
      <c r="E283" t="s">
        <v>82</v>
      </c>
      <c r="F283" t="s">
        <v>83</v>
      </c>
      <c r="G283" t="s">
        <v>84</v>
      </c>
      <c r="H283">
        <v>1798</v>
      </c>
      <c r="I283" t="s">
        <v>30</v>
      </c>
      <c r="J283">
        <v>6</v>
      </c>
      <c r="K283">
        <v>14384</v>
      </c>
      <c r="L283">
        <v>10</v>
      </c>
      <c r="M283" t="s">
        <v>186</v>
      </c>
      <c r="N283">
        <v>8</v>
      </c>
      <c r="O283">
        <v>4.5</v>
      </c>
      <c r="P283" t="s">
        <v>53</v>
      </c>
      <c r="Q283" t="s">
        <v>38</v>
      </c>
      <c r="R283" t="s">
        <v>34</v>
      </c>
      <c r="S283">
        <v>3</v>
      </c>
      <c r="T283">
        <v>5</v>
      </c>
      <c r="U283">
        <v>2</v>
      </c>
      <c r="V283" t="s">
        <v>46</v>
      </c>
      <c r="W283" t="s">
        <v>68</v>
      </c>
      <c r="X283" t="s">
        <v>37</v>
      </c>
      <c r="Y283" t="s">
        <v>38</v>
      </c>
      <c r="Z283">
        <v>4.3</v>
      </c>
    </row>
    <row r="284" spans="1:26" x14ac:dyDescent="0.3">
      <c r="A284" t="s">
        <v>405</v>
      </c>
      <c r="B284" s="1">
        <v>46141</v>
      </c>
      <c r="C284" s="1">
        <v>46142</v>
      </c>
      <c r="D284" s="1">
        <v>46148</v>
      </c>
      <c r="E284" t="s">
        <v>111</v>
      </c>
      <c r="F284" t="s">
        <v>27</v>
      </c>
      <c r="G284" t="s">
        <v>112</v>
      </c>
      <c r="H284">
        <v>1492</v>
      </c>
      <c r="I284" t="s">
        <v>43</v>
      </c>
      <c r="J284">
        <v>2</v>
      </c>
      <c r="K284">
        <v>8952</v>
      </c>
      <c r="L284">
        <v>6</v>
      </c>
      <c r="M284" t="s">
        <v>143</v>
      </c>
      <c r="N284">
        <v>4</v>
      </c>
      <c r="O284">
        <v>3.6</v>
      </c>
      <c r="P284" t="s">
        <v>66</v>
      </c>
      <c r="Q284" t="s">
        <v>33</v>
      </c>
      <c r="R284" t="s">
        <v>34</v>
      </c>
      <c r="S284">
        <v>3</v>
      </c>
      <c r="T284">
        <v>6</v>
      </c>
      <c r="U284">
        <v>3</v>
      </c>
      <c r="V284" t="s">
        <v>46</v>
      </c>
      <c r="W284" t="s">
        <v>68</v>
      </c>
      <c r="X284" t="s">
        <v>76</v>
      </c>
      <c r="Y284" t="s">
        <v>33</v>
      </c>
      <c r="Z284">
        <v>4.9000000000000004</v>
      </c>
    </row>
    <row r="285" spans="1:26" x14ac:dyDescent="0.3">
      <c r="A285" t="s">
        <v>406</v>
      </c>
      <c r="B285" s="1">
        <v>46075</v>
      </c>
      <c r="C285" s="1">
        <v>46075</v>
      </c>
      <c r="D285" s="1">
        <v>46076</v>
      </c>
      <c r="E285" t="s">
        <v>82</v>
      </c>
      <c r="F285" t="s">
        <v>83</v>
      </c>
      <c r="G285" t="s">
        <v>84</v>
      </c>
      <c r="H285">
        <v>247</v>
      </c>
      <c r="I285" t="s">
        <v>60</v>
      </c>
      <c r="J285">
        <v>4</v>
      </c>
      <c r="K285">
        <v>2717</v>
      </c>
      <c r="L285">
        <v>7</v>
      </c>
      <c r="M285" t="s">
        <v>31</v>
      </c>
      <c r="N285">
        <v>12</v>
      </c>
      <c r="O285">
        <v>4.5</v>
      </c>
      <c r="P285" t="s">
        <v>45</v>
      </c>
      <c r="Q285" t="s">
        <v>38</v>
      </c>
      <c r="R285" t="s">
        <v>34</v>
      </c>
      <c r="S285">
        <v>1</v>
      </c>
      <c r="T285">
        <v>1</v>
      </c>
      <c r="U285">
        <v>0</v>
      </c>
      <c r="V285" t="s">
        <v>35</v>
      </c>
      <c r="W285" t="s">
        <v>36</v>
      </c>
      <c r="X285" t="s">
        <v>95</v>
      </c>
      <c r="Y285" t="s">
        <v>33</v>
      </c>
      <c r="Z285">
        <v>3.1</v>
      </c>
    </row>
    <row r="286" spans="1:26" x14ac:dyDescent="0.3">
      <c r="A286" t="s">
        <v>407</v>
      </c>
      <c r="B286" s="1">
        <v>46121</v>
      </c>
      <c r="C286" s="1">
        <v>46122</v>
      </c>
      <c r="D286" s="1">
        <v>46125</v>
      </c>
      <c r="E286" t="s">
        <v>72</v>
      </c>
      <c r="F286" t="s">
        <v>73</v>
      </c>
      <c r="G286" t="s">
        <v>74</v>
      </c>
      <c r="H286">
        <v>412</v>
      </c>
      <c r="I286" t="s">
        <v>30</v>
      </c>
      <c r="J286">
        <v>10</v>
      </c>
      <c r="K286">
        <v>2884</v>
      </c>
      <c r="L286">
        <v>5</v>
      </c>
      <c r="M286" t="s">
        <v>97</v>
      </c>
      <c r="N286">
        <v>15</v>
      </c>
      <c r="O286">
        <v>4.8</v>
      </c>
      <c r="P286" t="s">
        <v>66</v>
      </c>
      <c r="Q286" t="s">
        <v>38</v>
      </c>
      <c r="R286" t="s">
        <v>67</v>
      </c>
      <c r="S286">
        <v>1</v>
      </c>
      <c r="T286">
        <v>3</v>
      </c>
      <c r="U286">
        <v>2</v>
      </c>
      <c r="V286" t="s">
        <v>46</v>
      </c>
      <c r="W286" t="s">
        <v>68</v>
      </c>
      <c r="X286" t="s">
        <v>37</v>
      </c>
      <c r="Y286" t="s">
        <v>38</v>
      </c>
      <c r="Z286">
        <v>4.0999999999999996</v>
      </c>
    </row>
    <row r="287" spans="1:26" x14ac:dyDescent="0.3">
      <c r="A287" t="s">
        <v>408</v>
      </c>
      <c r="B287" s="1">
        <v>46044</v>
      </c>
      <c r="C287" s="1">
        <v>46044</v>
      </c>
      <c r="D287" s="1">
        <v>46051</v>
      </c>
      <c r="E287" t="s">
        <v>27</v>
      </c>
      <c r="F287" t="s">
        <v>28</v>
      </c>
      <c r="G287" t="s">
        <v>29</v>
      </c>
      <c r="H287">
        <v>1558</v>
      </c>
      <c r="I287" t="s">
        <v>30</v>
      </c>
      <c r="J287">
        <v>6</v>
      </c>
      <c r="K287">
        <v>18696</v>
      </c>
      <c r="L287">
        <v>8</v>
      </c>
      <c r="M287" t="s">
        <v>61</v>
      </c>
      <c r="N287">
        <v>14</v>
      </c>
      <c r="O287">
        <v>4.0999999999999996</v>
      </c>
      <c r="P287" t="s">
        <v>66</v>
      </c>
      <c r="Q287" t="s">
        <v>33</v>
      </c>
      <c r="R287" t="s">
        <v>34</v>
      </c>
      <c r="S287">
        <v>3</v>
      </c>
      <c r="T287">
        <v>7</v>
      </c>
      <c r="U287">
        <v>4</v>
      </c>
      <c r="V287" t="s">
        <v>46</v>
      </c>
      <c r="W287" t="s">
        <v>36</v>
      </c>
      <c r="X287" t="s">
        <v>76</v>
      </c>
      <c r="Y287" t="s">
        <v>33</v>
      </c>
      <c r="Z287">
        <v>3.9</v>
      </c>
    </row>
    <row r="288" spans="1:26" x14ac:dyDescent="0.3">
      <c r="A288" t="s">
        <v>409</v>
      </c>
      <c r="B288" s="1">
        <v>46118</v>
      </c>
      <c r="C288" s="1">
        <v>46120</v>
      </c>
      <c r="D288" s="1">
        <v>46122</v>
      </c>
      <c r="E288" t="s">
        <v>111</v>
      </c>
      <c r="F288" t="s">
        <v>27</v>
      </c>
      <c r="G288" t="s">
        <v>112</v>
      </c>
      <c r="H288">
        <v>1272</v>
      </c>
      <c r="I288" t="s">
        <v>30</v>
      </c>
      <c r="J288">
        <v>6</v>
      </c>
      <c r="K288">
        <v>11448</v>
      </c>
      <c r="L288">
        <v>9</v>
      </c>
      <c r="M288" t="s">
        <v>239</v>
      </c>
      <c r="N288">
        <v>13</v>
      </c>
      <c r="O288">
        <v>3.2</v>
      </c>
      <c r="P288" t="s">
        <v>66</v>
      </c>
      <c r="Q288" t="s">
        <v>62</v>
      </c>
      <c r="R288" t="s">
        <v>34</v>
      </c>
      <c r="S288">
        <v>2</v>
      </c>
      <c r="T288">
        <v>2</v>
      </c>
      <c r="U288">
        <v>0</v>
      </c>
      <c r="V288" t="s">
        <v>35</v>
      </c>
      <c r="W288" t="s">
        <v>68</v>
      </c>
      <c r="X288" t="s">
        <v>63</v>
      </c>
      <c r="Y288" t="s">
        <v>38</v>
      </c>
      <c r="Z288">
        <v>4</v>
      </c>
    </row>
    <row r="289" spans="1:26" x14ac:dyDescent="0.3">
      <c r="A289" t="s">
        <v>410</v>
      </c>
      <c r="B289" s="1">
        <v>46120</v>
      </c>
      <c r="C289" s="1">
        <v>46120</v>
      </c>
      <c r="D289" s="1">
        <v>46123</v>
      </c>
      <c r="E289" t="s">
        <v>49</v>
      </c>
      <c r="F289" t="s">
        <v>50</v>
      </c>
      <c r="G289" t="s">
        <v>51</v>
      </c>
      <c r="H289">
        <v>787</v>
      </c>
      <c r="I289" t="s">
        <v>43</v>
      </c>
      <c r="J289">
        <v>9</v>
      </c>
      <c r="K289">
        <v>4722</v>
      </c>
      <c r="L289">
        <v>10</v>
      </c>
      <c r="M289" t="s">
        <v>153</v>
      </c>
      <c r="N289">
        <v>13</v>
      </c>
      <c r="O289">
        <v>4</v>
      </c>
      <c r="P289" t="s">
        <v>32</v>
      </c>
      <c r="Q289" t="s">
        <v>62</v>
      </c>
      <c r="R289" t="s">
        <v>34</v>
      </c>
      <c r="S289">
        <v>1</v>
      </c>
      <c r="T289">
        <v>3</v>
      </c>
      <c r="U289">
        <v>2</v>
      </c>
      <c r="V289" t="s">
        <v>46</v>
      </c>
      <c r="W289" t="s">
        <v>36</v>
      </c>
      <c r="X289" t="s">
        <v>63</v>
      </c>
      <c r="Y289" t="s">
        <v>33</v>
      </c>
      <c r="Z289">
        <v>3.7</v>
      </c>
    </row>
    <row r="290" spans="1:26" x14ac:dyDescent="0.3">
      <c r="A290" t="s">
        <v>411</v>
      </c>
      <c r="B290" s="1">
        <v>46075</v>
      </c>
      <c r="C290" s="1">
        <v>46077</v>
      </c>
      <c r="D290" s="1">
        <v>46081</v>
      </c>
      <c r="E290" t="s">
        <v>111</v>
      </c>
      <c r="F290" t="s">
        <v>27</v>
      </c>
      <c r="G290" t="s">
        <v>112</v>
      </c>
      <c r="H290">
        <v>1008</v>
      </c>
      <c r="I290" t="s">
        <v>60</v>
      </c>
      <c r="J290">
        <v>3</v>
      </c>
      <c r="K290">
        <v>11088</v>
      </c>
      <c r="L290">
        <v>10</v>
      </c>
      <c r="M290" t="s">
        <v>97</v>
      </c>
      <c r="N290">
        <v>7</v>
      </c>
      <c r="O290">
        <v>4.7</v>
      </c>
      <c r="P290" t="s">
        <v>45</v>
      </c>
      <c r="Q290" t="s">
        <v>62</v>
      </c>
      <c r="R290" t="s">
        <v>67</v>
      </c>
      <c r="S290">
        <v>2</v>
      </c>
      <c r="T290">
        <v>4</v>
      </c>
      <c r="U290">
        <v>2</v>
      </c>
      <c r="V290" t="s">
        <v>46</v>
      </c>
      <c r="W290" t="s">
        <v>36</v>
      </c>
      <c r="X290" t="s">
        <v>76</v>
      </c>
      <c r="Y290" t="s">
        <v>33</v>
      </c>
      <c r="Z290">
        <v>4.5999999999999996</v>
      </c>
    </row>
    <row r="291" spans="1:26" x14ac:dyDescent="0.3">
      <c r="A291" t="s">
        <v>412</v>
      </c>
      <c r="B291" s="1">
        <v>46110</v>
      </c>
      <c r="C291" s="1">
        <v>46111</v>
      </c>
      <c r="D291" s="1">
        <v>46118</v>
      </c>
      <c r="E291" t="s">
        <v>57</v>
      </c>
      <c r="F291" t="s">
        <v>58</v>
      </c>
      <c r="G291" t="s">
        <v>59</v>
      </c>
      <c r="H291">
        <v>1528</v>
      </c>
      <c r="I291" t="s">
        <v>30</v>
      </c>
      <c r="J291">
        <v>7</v>
      </c>
      <c r="K291">
        <v>10696</v>
      </c>
      <c r="L291">
        <v>5</v>
      </c>
      <c r="M291" t="s">
        <v>283</v>
      </c>
      <c r="N291">
        <v>3</v>
      </c>
      <c r="O291">
        <v>3.6</v>
      </c>
      <c r="P291" t="s">
        <v>53</v>
      </c>
      <c r="Q291" t="s">
        <v>33</v>
      </c>
      <c r="R291" t="s">
        <v>34</v>
      </c>
      <c r="S291">
        <v>3</v>
      </c>
      <c r="T291">
        <v>7</v>
      </c>
      <c r="U291">
        <v>4</v>
      </c>
      <c r="V291" t="s">
        <v>46</v>
      </c>
      <c r="W291" t="s">
        <v>68</v>
      </c>
      <c r="X291" t="s">
        <v>37</v>
      </c>
      <c r="Y291" t="s">
        <v>62</v>
      </c>
      <c r="Z291">
        <v>3</v>
      </c>
    </row>
    <row r="292" spans="1:26" x14ac:dyDescent="0.3">
      <c r="A292" t="s">
        <v>413</v>
      </c>
      <c r="B292" s="1">
        <v>46029</v>
      </c>
      <c r="C292" s="1">
        <v>46031</v>
      </c>
      <c r="D292" s="1">
        <v>46033</v>
      </c>
      <c r="E292" t="s">
        <v>27</v>
      </c>
      <c r="F292" t="s">
        <v>28</v>
      </c>
      <c r="G292" t="s">
        <v>29</v>
      </c>
      <c r="H292">
        <v>580</v>
      </c>
      <c r="I292" t="s">
        <v>87</v>
      </c>
      <c r="J292">
        <v>5</v>
      </c>
      <c r="K292">
        <v>4640</v>
      </c>
      <c r="L292">
        <v>6</v>
      </c>
      <c r="M292" t="s">
        <v>245</v>
      </c>
      <c r="N292">
        <v>8</v>
      </c>
      <c r="O292">
        <v>4.5</v>
      </c>
      <c r="P292" t="s">
        <v>45</v>
      </c>
      <c r="Q292" t="s">
        <v>38</v>
      </c>
      <c r="R292" t="s">
        <v>67</v>
      </c>
      <c r="S292">
        <v>1</v>
      </c>
      <c r="T292">
        <v>2</v>
      </c>
      <c r="U292">
        <v>1</v>
      </c>
      <c r="V292" t="s">
        <v>46</v>
      </c>
      <c r="W292" t="s">
        <v>36</v>
      </c>
      <c r="X292" t="s">
        <v>47</v>
      </c>
      <c r="Y292" t="s">
        <v>62</v>
      </c>
      <c r="Z292">
        <v>3.6</v>
      </c>
    </row>
    <row r="293" spans="1:26" x14ac:dyDescent="0.3">
      <c r="A293" t="s">
        <v>414</v>
      </c>
      <c r="B293" s="1">
        <v>46125</v>
      </c>
      <c r="C293" s="1">
        <v>46126</v>
      </c>
      <c r="D293" s="1">
        <v>46128</v>
      </c>
      <c r="E293" t="s">
        <v>49</v>
      </c>
      <c r="F293" t="s">
        <v>50</v>
      </c>
      <c r="G293" t="s">
        <v>51</v>
      </c>
      <c r="H293">
        <v>1149</v>
      </c>
      <c r="I293" t="s">
        <v>87</v>
      </c>
      <c r="J293">
        <v>6</v>
      </c>
      <c r="K293">
        <v>6894</v>
      </c>
      <c r="L293">
        <v>6</v>
      </c>
      <c r="M293" t="s">
        <v>208</v>
      </c>
      <c r="N293">
        <v>5</v>
      </c>
      <c r="O293">
        <v>4.5999999999999996</v>
      </c>
      <c r="P293" t="s">
        <v>32</v>
      </c>
      <c r="Q293" t="s">
        <v>33</v>
      </c>
      <c r="R293" t="s">
        <v>34</v>
      </c>
      <c r="S293">
        <v>2</v>
      </c>
      <c r="T293">
        <v>2</v>
      </c>
      <c r="U293">
        <v>0</v>
      </c>
      <c r="V293" t="s">
        <v>35</v>
      </c>
      <c r="W293" t="s">
        <v>68</v>
      </c>
      <c r="X293" t="s">
        <v>95</v>
      </c>
      <c r="Y293" t="s">
        <v>38</v>
      </c>
      <c r="Z293">
        <v>3.2</v>
      </c>
    </row>
    <row r="294" spans="1:26" x14ac:dyDescent="0.3">
      <c r="A294" t="s">
        <v>415</v>
      </c>
      <c r="B294" s="1">
        <v>46121</v>
      </c>
      <c r="C294" s="1">
        <v>46123</v>
      </c>
      <c r="D294" s="1">
        <v>46128</v>
      </c>
      <c r="E294" t="s">
        <v>40</v>
      </c>
      <c r="F294" t="s">
        <v>41</v>
      </c>
      <c r="G294" t="s">
        <v>42</v>
      </c>
      <c r="H294">
        <v>988</v>
      </c>
      <c r="I294" t="s">
        <v>43</v>
      </c>
      <c r="J294">
        <v>4</v>
      </c>
      <c r="K294">
        <v>10868</v>
      </c>
      <c r="L294">
        <v>5</v>
      </c>
      <c r="M294" t="s">
        <v>160</v>
      </c>
      <c r="N294">
        <v>8</v>
      </c>
      <c r="O294">
        <v>4.5</v>
      </c>
      <c r="P294" t="s">
        <v>32</v>
      </c>
      <c r="Q294" t="s">
        <v>33</v>
      </c>
      <c r="R294" t="s">
        <v>54</v>
      </c>
      <c r="S294">
        <v>2</v>
      </c>
      <c r="T294">
        <v>5</v>
      </c>
      <c r="U294">
        <v>3</v>
      </c>
      <c r="V294" t="s">
        <v>46</v>
      </c>
      <c r="W294" t="s">
        <v>68</v>
      </c>
      <c r="X294" t="s">
        <v>47</v>
      </c>
      <c r="Y294" t="s">
        <v>62</v>
      </c>
      <c r="Z294">
        <v>3.3</v>
      </c>
    </row>
    <row r="295" spans="1:26" x14ac:dyDescent="0.3">
      <c r="A295" t="s">
        <v>416</v>
      </c>
      <c r="B295" s="1">
        <v>46116</v>
      </c>
      <c r="C295" s="1">
        <v>46116</v>
      </c>
      <c r="D295" s="1">
        <v>46118</v>
      </c>
      <c r="E295" t="s">
        <v>72</v>
      </c>
      <c r="F295" t="s">
        <v>73</v>
      </c>
      <c r="G295" t="s">
        <v>74</v>
      </c>
      <c r="H295">
        <v>718</v>
      </c>
      <c r="I295" t="s">
        <v>43</v>
      </c>
      <c r="J295">
        <v>5</v>
      </c>
      <c r="K295">
        <v>5026</v>
      </c>
      <c r="L295">
        <v>7</v>
      </c>
      <c r="M295" t="s">
        <v>208</v>
      </c>
      <c r="N295">
        <v>14</v>
      </c>
      <c r="O295">
        <v>4.3</v>
      </c>
      <c r="P295" t="s">
        <v>32</v>
      </c>
      <c r="Q295" t="s">
        <v>38</v>
      </c>
      <c r="R295" t="s">
        <v>54</v>
      </c>
      <c r="S295">
        <v>1</v>
      </c>
      <c r="T295">
        <v>2</v>
      </c>
      <c r="U295">
        <v>1</v>
      </c>
      <c r="V295" t="s">
        <v>46</v>
      </c>
      <c r="W295" t="s">
        <v>68</v>
      </c>
      <c r="X295" t="s">
        <v>63</v>
      </c>
      <c r="Y295" t="s">
        <v>38</v>
      </c>
      <c r="Z295">
        <v>4.5999999999999996</v>
      </c>
    </row>
    <row r="296" spans="1:26" x14ac:dyDescent="0.3">
      <c r="A296" t="s">
        <v>417</v>
      </c>
      <c r="B296" s="1">
        <v>46097</v>
      </c>
      <c r="C296" s="1">
        <v>46097</v>
      </c>
      <c r="D296" s="1">
        <v>46099</v>
      </c>
      <c r="E296" t="s">
        <v>111</v>
      </c>
      <c r="F296" t="s">
        <v>27</v>
      </c>
      <c r="G296" t="s">
        <v>112</v>
      </c>
      <c r="H296">
        <v>697</v>
      </c>
      <c r="I296" t="s">
        <v>87</v>
      </c>
      <c r="J296">
        <v>1</v>
      </c>
      <c r="K296">
        <v>6970</v>
      </c>
      <c r="L296">
        <v>10</v>
      </c>
      <c r="M296" t="s">
        <v>116</v>
      </c>
      <c r="N296">
        <v>12</v>
      </c>
      <c r="O296">
        <v>4.2</v>
      </c>
      <c r="P296" t="s">
        <v>66</v>
      </c>
      <c r="Q296" t="s">
        <v>38</v>
      </c>
      <c r="R296" t="s">
        <v>67</v>
      </c>
      <c r="S296">
        <v>1</v>
      </c>
      <c r="T296">
        <v>2</v>
      </c>
      <c r="U296">
        <v>1</v>
      </c>
      <c r="V296" t="s">
        <v>46</v>
      </c>
      <c r="W296" t="s">
        <v>36</v>
      </c>
      <c r="X296" t="s">
        <v>76</v>
      </c>
      <c r="Y296" t="s">
        <v>62</v>
      </c>
      <c r="Z296">
        <v>4.9000000000000004</v>
      </c>
    </row>
    <row r="297" spans="1:26" x14ac:dyDescent="0.3">
      <c r="A297" t="s">
        <v>418</v>
      </c>
      <c r="B297" s="1">
        <v>46120</v>
      </c>
      <c r="C297" s="1">
        <v>46122</v>
      </c>
      <c r="D297" s="1">
        <v>46128</v>
      </c>
      <c r="E297" t="s">
        <v>27</v>
      </c>
      <c r="F297" t="s">
        <v>28</v>
      </c>
      <c r="G297" t="s">
        <v>29</v>
      </c>
      <c r="H297">
        <v>322</v>
      </c>
      <c r="I297" t="s">
        <v>30</v>
      </c>
      <c r="J297">
        <v>3</v>
      </c>
      <c r="K297">
        <v>3542</v>
      </c>
      <c r="L297">
        <v>9</v>
      </c>
      <c r="M297" t="s">
        <v>107</v>
      </c>
      <c r="N297">
        <v>3</v>
      </c>
      <c r="O297">
        <v>4</v>
      </c>
      <c r="P297" t="s">
        <v>66</v>
      </c>
      <c r="Q297" t="s">
        <v>33</v>
      </c>
      <c r="R297" t="s">
        <v>54</v>
      </c>
      <c r="S297">
        <v>1</v>
      </c>
      <c r="T297">
        <v>6</v>
      </c>
      <c r="U297">
        <v>5</v>
      </c>
      <c r="V297" t="s">
        <v>46</v>
      </c>
      <c r="W297" t="s">
        <v>36</v>
      </c>
      <c r="X297" t="s">
        <v>63</v>
      </c>
      <c r="Y297" t="s">
        <v>33</v>
      </c>
      <c r="Z297">
        <v>3.8</v>
      </c>
    </row>
    <row r="298" spans="1:26" x14ac:dyDescent="0.3">
      <c r="A298" t="s">
        <v>419</v>
      </c>
      <c r="B298" s="1">
        <v>46115</v>
      </c>
      <c r="C298" s="1">
        <v>46115</v>
      </c>
      <c r="D298" s="1">
        <v>46119</v>
      </c>
      <c r="E298" t="s">
        <v>57</v>
      </c>
      <c r="F298" t="s">
        <v>58</v>
      </c>
      <c r="G298" t="s">
        <v>59</v>
      </c>
      <c r="H298">
        <v>280</v>
      </c>
      <c r="I298" t="s">
        <v>43</v>
      </c>
      <c r="J298">
        <v>8</v>
      </c>
      <c r="K298">
        <v>2800</v>
      </c>
      <c r="L298">
        <v>7</v>
      </c>
      <c r="M298" t="s">
        <v>52</v>
      </c>
      <c r="N298">
        <v>12</v>
      </c>
      <c r="O298">
        <v>4</v>
      </c>
      <c r="P298" t="s">
        <v>45</v>
      </c>
      <c r="Q298" t="s">
        <v>33</v>
      </c>
      <c r="R298" t="s">
        <v>34</v>
      </c>
      <c r="S298">
        <v>1</v>
      </c>
      <c r="T298">
        <v>4</v>
      </c>
      <c r="U298">
        <v>3</v>
      </c>
      <c r="V298" t="s">
        <v>46</v>
      </c>
      <c r="W298" t="s">
        <v>68</v>
      </c>
      <c r="X298" t="s">
        <v>76</v>
      </c>
      <c r="Y298" t="s">
        <v>33</v>
      </c>
      <c r="Z298">
        <v>3.3</v>
      </c>
    </row>
    <row r="299" spans="1:26" x14ac:dyDescent="0.3">
      <c r="A299" t="s">
        <v>420</v>
      </c>
      <c r="B299" s="1">
        <v>46090</v>
      </c>
      <c r="C299" s="1">
        <v>46090</v>
      </c>
      <c r="D299" s="1">
        <v>46093</v>
      </c>
      <c r="E299" t="s">
        <v>92</v>
      </c>
      <c r="F299" t="s">
        <v>93</v>
      </c>
      <c r="G299" t="s">
        <v>94</v>
      </c>
      <c r="H299">
        <v>805</v>
      </c>
      <c r="I299" t="s">
        <v>30</v>
      </c>
      <c r="J299">
        <v>9</v>
      </c>
      <c r="K299">
        <v>6440</v>
      </c>
      <c r="L299">
        <v>8</v>
      </c>
      <c r="M299" t="s">
        <v>158</v>
      </c>
      <c r="N299">
        <v>13</v>
      </c>
      <c r="O299">
        <v>4.3</v>
      </c>
      <c r="P299" t="s">
        <v>53</v>
      </c>
      <c r="Q299" t="s">
        <v>33</v>
      </c>
      <c r="R299" t="s">
        <v>67</v>
      </c>
      <c r="S299">
        <v>1</v>
      </c>
      <c r="T299">
        <v>3</v>
      </c>
      <c r="U299">
        <v>2</v>
      </c>
      <c r="V299" t="s">
        <v>46</v>
      </c>
      <c r="W299" t="s">
        <v>55</v>
      </c>
      <c r="X299" t="s">
        <v>37</v>
      </c>
      <c r="Y299" t="s">
        <v>62</v>
      </c>
      <c r="Z299">
        <v>4.4000000000000004</v>
      </c>
    </row>
    <row r="300" spans="1:26" x14ac:dyDescent="0.3">
      <c r="A300" t="s">
        <v>421</v>
      </c>
      <c r="B300" s="1">
        <v>46107</v>
      </c>
      <c r="C300" s="1">
        <v>46109</v>
      </c>
      <c r="D300" s="1">
        <v>46110</v>
      </c>
      <c r="E300" t="s">
        <v>111</v>
      </c>
      <c r="F300" t="s">
        <v>27</v>
      </c>
      <c r="G300" t="s">
        <v>112</v>
      </c>
      <c r="H300">
        <v>588</v>
      </c>
      <c r="I300" t="s">
        <v>43</v>
      </c>
      <c r="J300">
        <v>9</v>
      </c>
      <c r="K300">
        <v>4116</v>
      </c>
      <c r="L300">
        <v>9</v>
      </c>
      <c r="M300" t="s">
        <v>99</v>
      </c>
      <c r="N300">
        <v>6</v>
      </c>
      <c r="O300">
        <v>3.8</v>
      </c>
      <c r="P300" t="s">
        <v>66</v>
      </c>
      <c r="Q300" t="s">
        <v>38</v>
      </c>
      <c r="R300" t="s">
        <v>67</v>
      </c>
      <c r="S300">
        <v>1</v>
      </c>
      <c r="T300">
        <v>1</v>
      </c>
      <c r="U300">
        <v>0</v>
      </c>
      <c r="V300" t="s">
        <v>35</v>
      </c>
      <c r="W300" t="s">
        <v>36</v>
      </c>
      <c r="X300" t="s">
        <v>37</v>
      </c>
      <c r="Y300" t="s">
        <v>38</v>
      </c>
      <c r="Z300">
        <v>4.7</v>
      </c>
    </row>
    <row r="301" spans="1:26" x14ac:dyDescent="0.3">
      <c r="A301" t="s">
        <v>422</v>
      </c>
      <c r="B301" s="1">
        <v>46048</v>
      </c>
      <c r="C301" s="1">
        <v>46048</v>
      </c>
      <c r="D301" s="1">
        <v>46049</v>
      </c>
      <c r="E301" t="s">
        <v>92</v>
      </c>
      <c r="F301" t="s">
        <v>93</v>
      </c>
      <c r="G301" t="s">
        <v>94</v>
      </c>
      <c r="H301">
        <v>592</v>
      </c>
      <c r="I301" t="s">
        <v>87</v>
      </c>
      <c r="J301">
        <v>1</v>
      </c>
      <c r="K301">
        <v>5920</v>
      </c>
      <c r="L301">
        <v>10</v>
      </c>
      <c r="M301" t="s">
        <v>75</v>
      </c>
      <c r="N301">
        <v>11</v>
      </c>
      <c r="O301">
        <v>4</v>
      </c>
      <c r="P301" t="s">
        <v>66</v>
      </c>
      <c r="Q301" t="s">
        <v>38</v>
      </c>
      <c r="R301" t="s">
        <v>34</v>
      </c>
      <c r="S301">
        <v>1</v>
      </c>
      <c r="T301">
        <v>1</v>
      </c>
      <c r="U301">
        <v>0</v>
      </c>
      <c r="V301" t="s">
        <v>35</v>
      </c>
      <c r="W301" t="s">
        <v>36</v>
      </c>
      <c r="X301" t="s">
        <v>37</v>
      </c>
      <c r="Y301" t="s">
        <v>33</v>
      </c>
      <c r="Z301">
        <v>4</v>
      </c>
    </row>
    <row r="302" spans="1:26" x14ac:dyDescent="0.3">
      <c r="A302" t="s">
        <v>423</v>
      </c>
      <c r="B302" s="1">
        <v>46136</v>
      </c>
      <c r="C302" s="1">
        <v>46136</v>
      </c>
      <c r="D302" s="1">
        <v>46141</v>
      </c>
      <c r="E302" t="s">
        <v>92</v>
      </c>
      <c r="F302" t="s">
        <v>93</v>
      </c>
      <c r="G302" t="s">
        <v>94</v>
      </c>
      <c r="H302">
        <v>1508</v>
      </c>
      <c r="I302" t="s">
        <v>87</v>
      </c>
      <c r="J302">
        <v>6</v>
      </c>
      <c r="K302">
        <v>15080</v>
      </c>
      <c r="L302">
        <v>10</v>
      </c>
      <c r="M302" t="s">
        <v>114</v>
      </c>
      <c r="N302">
        <v>14</v>
      </c>
      <c r="O302">
        <v>3.7</v>
      </c>
      <c r="P302" t="s">
        <v>32</v>
      </c>
      <c r="Q302" t="s">
        <v>33</v>
      </c>
      <c r="R302" t="s">
        <v>34</v>
      </c>
      <c r="S302">
        <v>3</v>
      </c>
      <c r="T302">
        <v>5</v>
      </c>
      <c r="U302">
        <v>2</v>
      </c>
      <c r="V302" t="s">
        <v>46</v>
      </c>
      <c r="W302" t="s">
        <v>36</v>
      </c>
      <c r="X302" t="s">
        <v>47</v>
      </c>
      <c r="Y302" t="s">
        <v>38</v>
      </c>
      <c r="Z302">
        <v>4.9000000000000004</v>
      </c>
    </row>
    <row r="303" spans="1:26" x14ac:dyDescent="0.3">
      <c r="A303" t="s">
        <v>424</v>
      </c>
      <c r="B303" s="1">
        <v>46089</v>
      </c>
      <c r="C303" s="1">
        <v>46089</v>
      </c>
      <c r="D303" s="1">
        <v>46093</v>
      </c>
      <c r="E303" t="s">
        <v>72</v>
      </c>
      <c r="F303" t="s">
        <v>73</v>
      </c>
      <c r="G303" t="s">
        <v>74</v>
      </c>
      <c r="H303">
        <v>1685</v>
      </c>
      <c r="I303" t="s">
        <v>60</v>
      </c>
      <c r="J303">
        <v>9</v>
      </c>
      <c r="K303">
        <v>15165</v>
      </c>
      <c r="L303">
        <v>6</v>
      </c>
      <c r="M303" t="s">
        <v>160</v>
      </c>
      <c r="N303">
        <v>9</v>
      </c>
      <c r="O303">
        <v>4.3</v>
      </c>
      <c r="P303" t="s">
        <v>45</v>
      </c>
      <c r="Q303" t="s">
        <v>33</v>
      </c>
      <c r="R303" t="s">
        <v>54</v>
      </c>
      <c r="S303">
        <v>3</v>
      </c>
      <c r="T303">
        <v>4</v>
      </c>
      <c r="U303">
        <v>1</v>
      </c>
      <c r="V303" t="s">
        <v>46</v>
      </c>
      <c r="W303" t="s">
        <v>55</v>
      </c>
      <c r="X303" t="s">
        <v>76</v>
      </c>
      <c r="Y303" t="s">
        <v>62</v>
      </c>
      <c r="Z303">
        <v>4.3</v>
      </c>
    </row>
    <row r="304" spans="1:26" x14ac:dyDescent="0.3">
      <c r="A304" t="s">
        <v>425</v>
      </c>
      <c r="B304" s="1">
        <v>46112</v>
      </c>
      <c r="C304" s="1">
        <v>46114</v>
      </c>
      <c r="D304" s="1">
        <v>46117</v>
      </c>
      <c r="E304" t="s">
        <v>111</v>
      </c>
      <c r="F304" t="s">
        <v>27</v>
      </c>
      <c r="G304" t="s">
        <v>112</v>
      </c>
      <c r="H304">
        <v>413</v>
      </c>
      <c r="I304" t="s">
        <v>60</v>
      </c>
      <c r="J304">
        <v>3</v>
      </c>
      <c r="K304">
        <v>4130</v>
      </c>
      <c r="L304">
        <v>8</v>
      </c>
      <c r="M304" t="s">
        <v>186</v>
      </c>
      <c r="N304">
        <v>6</v>
      </c>
      <c r="O304">
        <v>4.3</v>
      </c>
      <c r="P304" t="s">
        <v>53</v>
      </c>
      <c r="Q304" t="s">
        <v>62</v>
      </c>
      <c r="R304" t="s">
        <v>34</v>
      </c>
      <c r="S304">
        <v>1</v>
      </c>
      <c r="T304">
        <v>3</v>
      </c>
      <c r="U304">
        <v>2</v>
      </c>
      <c r="V304" t="s">
        <v>46</v>
      </c>
      <c r="W304" t="s">
        <v>68</v>
      </c>
      <c r="X304" t="s">
        <v>95</v>
      </c>
      <c r="Y304" t="s">
        <v>33</v>
      </c>
      <c r="Z304">
        <v>3.9</v>
      </c>
    </row>
    <row r="305" spans="1:26" x14ac:dyDescent="0.3">
      <c r="A305" t="s">
        <v>426</v>
      </c>
      <c r="B305" s="1">
        <v>46115</v>
      </c>
      <c r="C305" s="1">
        <v>46116</v>
      </c>
      <c r="D305" s="1">
        <v>46119</v>
      </c>
      <c r="E305" t="s">
        <v>40</v>
      </c>
      <c r="F305" t="s">
        <v>41</v>
      </c>
      <c r="G305" t="s">
        <v>42</v>
      </c>
      <c r="H305">
        <v>1353</v>
      </c>
      <c r="I305" t="s">
        <v>60</v>
      </c>
      <c r="J305">
        <v>7</v>
      </c>
      <c r="K305">
        <v>16236</v>
      </c>
      <c r="L305">
        <v>9</v>
      </c>
      <c r="M305" t="s">
        <v>31</v>
      </c>
      <c r="N305">
        <v>5</v>
      </c>
      <c r="O305">
        <v>3.7</v>
      </c>
      <c r="P305" t="s">
        <v>53</v>
      </c>
      <c r="Q305" t="s">
        <v>62</v>
      </c>
      <c r="R305" t="s">
        <v>34</v>
      </c>
      <c r="S305">
        <v>3</v>
      </c>
      <c r="T305">
        <v>3</v>
      </c>
      <c r="U305">
        <v>0</v>
      </c>
      <c r="V305" t="s">
        <v>35</v>
      </c>
      <c r="W305" t="s">
        <v>68</v>
      </c>
      <c r="X305" t="s">
        <v>76</v>
      </c>
      <c r="Y305" t="s">
        <v>38</v>
      </c>
      <c r="Z305">
        <v>4</v>
      </c>
    </row>
    <row r="306" spans="1:26" x14ac:dyDescent="0.3">
      <c r="A306" t="s">
        <v>427</v>
      </c>
      <c r="B306" s="1">
        <v>46136</v>
      </c>
      <c r="C306" s="1">
        <v>46137</v>
      </c>
      <c r="D306" s="1">
        <v>46138</v>
      </c>
      <c r="E306" t="s">
        <v>27</v>
      </c>
      <c r="F306" t="s">
        <v>28</v>
      </c>
      <c r="G306" t="s">
        <v>29</v>
      </c>
      <c r="H306">
        <v>815</v>
      </c>
      <c r="I306" t="s">
        <v>60</v>
      </c>
      <c r="J306">
        <v>4</v>
      </c>
      <c r="K306">
        <v>9780</v>
      </c>
      <c r="L306">
        <v>7</v>
      </c>
      <c r="M306" t="s">
        <v>135</v>
      </c>
      <c r="N306">
        <v>13</v>
      </c>
      <c r="O306">
        <v>4.5999999999999996</v>
      </c>
      <c r="P306" t="s">
        <v>66</v>
      </c>
      <c r="Q306" t="s">
        <v>33</v>
      </c>
      <c r="R306" t="s">
        <v>54</v>
      </c>
      <c r="S306">
        <v>1</v>
      </c>
      <c r="T306">
        <v>1</v>
      </c>
      <c r="U306">
        <v>0</v>
      </c>
      <c r="V306" t="s">
        <v>35</v>
      </c>
      <c r="W306" t="s">
        <v>68</v>
      </c>
      <c r="X306" t="s">
        <v>47</v>
      </c>
      <c r="Y306" t="s">
        <v>38</v>
      </c>
      <c r="Z306">
        <v>3.3</v>
      </c>
    </row>
    <row r="307" spans="1:26" x14ac:dyDescent="0.3">
      <c r="A307" t="s">
        <v>428</v>
      </c>
      <c r="B307" s="1">
        <v>46069</v>
      </c>
      <c r="C307" s="1">
        <v>46071</v>
      </c>
      <c r="D307" s="1">
        <v>46073</v>
      </c>
      <c r="E307" t="s">
        <v>40</v>
      </c>
      <c r="F307" t="s">
        <v>41</v>
      </c>
      <c r="G307" t="s">
        <v>42</v>
      </c>
      <c r="H307">
        <v>677</v>
      </c>
      <c r="I307" t="s">
        <v>30</v>
      </c>
      <c r="J307">
        <v>5</v>
      </c>
      <c r="K307">
        <v>4062</v>
      </c>
      <c r="L307">
        <v>9</v>
      </c>
      <c r="M307" t="s">
        <v>205</v>
      </c>
      <c r="N307">
        <v>10</v>
      </c>
      <c r="O307">
        <v>4.8</v>
      </c>
      <c r="P307" t="s">
        <v>32</v>
      </c>
      <c r="Q307" t="s">
        <v>33</v>
      </c>
      <c r="R307" t="s">
        <v>34</v>
      </c>
      <c r="S307">
        <v>1</v>
      </c>
      <c r="T307">
        <v>2</v>
      </c>
      <c r="U307">
        <v>1</v>
      </c>
      <c r="V307" t="s">
        <v>46</v>
      </c>
      <c r="W307" t="s">
        <v>68</v>
      </c>
      <c r="X307" t="s">
        <v>76</v>
      </c>
      <c r="Y307" t="s">
        <v>38</v>
      </c>
      <c r="Z307">
        <v>4.2</v>
      </c>
    </row>
    <row r="308" spans="1:26" x14ac:dyDescent="0.3">
      <c r="A308" t="s">
        <v>429</v>
      </c>
      <c r="B308" s="1">
        <v>46061</v>
      </c>
      <c r="C308" s="1">
        <v>46061</v>
      </c>
      <c r="D308" s="1">
        <v>46067</v>
      </c>
      <c r="E308" t="s">
        <v>111</v>
      </c>
      <c r="F308" t="s">
        <v>27</v>
      </c>
      <c r="G308" t="s">
        <v>112</v>
      </c>
      <c r="H308">
        <v>360</v>
      </c>
      <c r="I308" t="s">
        <v>87</v>
      </c>
      <c r="J308">
        <v>6</v>
      </c>
      <c r="K308">
        <v>2880</v>
      </c>
      <c r="L308">
        <v>8</v>
      </c>
      <c r="M308" t="s">
        <v>114</v>
      </c>
      <c r="N308">
        <v>15</v>
      </c>
      <c r="O308">
        <v>4.7</v>
      </c>
      <c r="P308" t="s">
        <v>45</v>
      </c>
      <c r="Q308" t="s">
        <v>33</v>
      </c>
      <c r="R308" t="s">
        <v>54</v>
      </c>
      <c r="S308">
        <v>1</v>
      </c>
      <c r="T308">
        <v>6</v>
      </c>
      <c r="U308">
        <v>5</v>
      </c>
      <c r="V308" t="s">
        <v>46</v>
      </c>
      <c r="W308" t="s">
        <v>68</v>
      </c>
      <c r="X308" t="s">
        <v>63</v>
      </c>
      <c r="Y308" t="s">
        <v>62</v>
      </c>
      <c r="Z308">
        <v>4</v>
      </c>
    </row>
    <row r="309" spans="1:26" x14ac:dyDescent="0.3">
      <c r="A309" t="s">
        <v>430</v>
      </c>
      <c r="B309" s="1">
        <v>46063</v>
      </c>
      <c r="C309" s="1">
        <v>46065</v>
      </c>
      <c r="D309" s="1">
        <v>46067</v>
      </c>
      <c r="E309" t="s">
        <v>82</v>
      </c>
      <c r="F309" t="s">
        <v>83</v>
      </c>
      <c r="G309" t="s">
        <v>84</v>
      </c>
      <c r="H309">
        <v>869</v>
      </c>
      <c r="I309" t="s">
        <v>60</v>
      </c>
      <c r="J309">
        <v>3</v>
      </c>
      <c r="K309">
        <v>5214</v>
      </c>
      <c r="L309">
        <v>10</v>
      </c>
      <c r="M309" t="s">
        <v>78</v>
      </c>
      <c r="N309">
        <v>7</v>
      </c>
      <c r="O309">
        <v>4.9000000000000004</v>
      </c>
      <c r="P309" t="s">
        <v>32</v>
      </c>
      <c r="Q309" t="s">
        <v>38</v>
      </c>
      <c r="R309" t="s">
        <v>34</v>
      </c>
      <c r="S309">
        <v>1</v>
      </c>
      <c r="T309">
        <v>2</v>
      </c>
      <c r="U309">
        <v>1</v>
      </c>
      <c r="V309" t="s">
        <v>46</v>
      </c>
      <c r="W309" t="s">
        <v>68</v>
      </c>
      <c r="X309" t="s">
        <v>37</v>
      </c>
      <c r="Y309" t="s">
        <v>38</v>
      </c>
      <c r="Z309">
        <v>3.7</v>
      </c>
    </row>
    <row r="310" spans="1:26" x14ac:dyDescent="0.3">
      <c r="A310" t="s">
        <v>431</v>
      </c>
      <c r="B310" s="1">
        <v>46083</v>
      </c>
      <c r="C310" s="1">
        <v>46085</v>
      </c>
      <c r="D310" s="1">
        <v>46088</v>
      </c>
      <c r="E310" t="s">
        <v>27</v>
      </c>
      <c r="F310" t="s">
        <v>28</v>
      </c>
      <c r="G310" t="s">
        <v>29</v>
      </c>
      <c r="H310">
        <v>1322</v>
      </c>
      <c r="I310" t="s">
        <v>43</v>
      </c>
      <c r="J310">
        <v>5</v>
      </c>
      <c r="K310">
        <v>7932</v>
      </c>
      <c r="L310">
        <v>8</v>
      </c>
      <c r="M310" t="s">
        <v>186</v>
      </c>
      <c r="N310">
        <v>7</v>
      </c>
      <c r="O310">
        <v>4.5</v>
      </c>
      <c r="P310" t="s">
        <v>45</v>
      </c>
      <c r="Q310" t="s">
        <v>38</v>
      </c>
      <c r="R310" t="s">
        <v>34</v>
      </c>
      <c r="S310">
        <v>2</v>
      </c>
      <c r="T310">
        <v>3</v>
      </c>
      <c r="U310">
        <v>1</v>
      </c>
      <c r="V310" t="s">
        <v>46</v>
      </c>
      <c r="W310" t="s">
        <v>68</v>
      </c>
      <c r="X310" t="s">
        <v>95</v>
      </c>
      <c r="Y310" t="s">
        <v>33</v>
      </c>
      <c r="Z310">
        <v>4.0999999999999996</v>
      </c>
    </row>
    <row r="311" spans="1:26" x14ac:dyDescent="0.3">
      <c r="A311" t="s">
        <v>432</v>
      </c>
      <c r="B311" s="1">
        <v>46094</v>
      </c>
      <c r="C311" s="1">
        <v>46096</v>
      </c>
      <c r="D311" s="1">
        <v>46098</v>
      </c>
      <c r="E311" t="s">
        <v>40</v>
      </c>
      <c r="F311" t="s">
        <v>41</v>
      </c>
      <c r="G311" t="s">
        <v>42</v>
      </c>
      <c r="H311">
        <v>696</v>
      </c>
      <c r="I311" t="s">
        <v>87</v>
      </c>
      <c r="J311">
        <v>5</v>
      </c>
      <c r="K311">
        <v>8352</v>
      </c>
      <c r="L311">
        <v>8</v>
      </c>
      <c r="M311" t="s">
        <v>226</v>
      </c>
      <c r="N311">
        <v>11</v>
      </c>
      <c r="O311">
        <v>4.8</v>
      </c>
      <c r="P311" t="s">
        <v>32</v>
      </c>
      <c r="Q311" t="s">
        <v>38</v>
      </c>
      <c r="R311" t="s">
        <v>54</v>
      </c>
      <c r="S311">
        <v>1</v>
      </c>
      <c r="T311">
        <v>2</v>
      </c>
      <c r="U311">
        <v>1</v>
      </c>
      <c r="V311" t="s">
        <v>46</v>
      </c>
      <c r="W311" t="s">
        <v>68</v>
      </c>
      <c r="X311" t="s">
        <v>47</v>
      </c>
      <c r="Y311" t="s">
        <v>62</v>
      </c>
      <c r="Z311">
        <v>3.4</v>
      </c>
    </row>
    <row r="312" spans="1:26" x14ac:dyDescent="0.3">
      <c r="A312" t="s">
        <v>433</v>
      </c>
      <c r="B312" s="1">
        <v>46067</v>
      </c>
      <c r="C312" s="1">
        <v>46069</v>
      </c>
      <c r="D312" s="1">
        <v>46073</v>
      </c>
      <c r="E312" t="s">
        <v>27</v>
      </c>
      <c r="F312" t="s">
        <v>28</v>
      </c>
      <c r="G312" t="s">
        <v>29</v>
      </c>
      <c r="H312">
        <v>1776</v>
      </c>
      <c r="I312" t="s">
        <v>30</v>
      </c>
      <c r="J312">
        <v>3</v>
      </c>
      <c r="K312">
        <v>14208</v>
      </c>
      <c r="L312">
        <v>9</v>
      </c>
      <c r="M312" t="s">
        <v>128</v>
      </c>
      <c r="N312">
        <v>10</v>
      </c>
      <c r="O312">
        <v>3.3</v>
      </c>
      <c r="P312" t="s">
        <v>32</v>
      </c>
      <c r="Q312" t="s">
        <v>38</v>
      </c>
      <c r="R312" t="s">
        <v>67</v>
      </c>
      <c r="S312">
        <v>3</v>
      </c>
      <c r="T312">
        <v>4</v>
      </c>
      <c r="U312">
        <v>1</v>
      </c>
      <c r="V312" t="s">
        <v>46</v>
      </c>
      <c r="W312" t="s">
        <v>36</v>
      </c>
      <c r="X312" t="s">
        <v>63</v>
      </c>
      <c r="Y312" t="s">
        <v>38</v>
      </c>
      <c r="Z312">
        <v>4.5</v>
      </c>
    </row>
    <row r="313" spans="1:26" x14ac:dyDescent="0.3">
      <c r="A313" t="s">
        <v>434</v>
      </c>
      <c r="B313" s="1">
        <v>46054</v>
      </c>
      <c r="C313" s="1">
        <v>46056</v>
      </c>
      <c r="D313" s="1">
        <v>46058</v>
      </c>
      <c r="E313" t="s">
        <v>82</v>
      </c>
      <c r="F313" t="s">
        <v>83</v>
      </c>
      <c r="G313" t="s">
        <v>84</v>
      </c>
      <c r="H313">
        <v>789</v>
      </c>
      <c r="I313" t="s">
        <v>87</v>
      </c>
      <c r="J313">
        <v>6</v>
      </c>
      <c r="K313">
        <v>8679</v>
      </c>
      <c r="L313">
        <v>5</v>
      </c>
      <c r="M313" t="s">
        <v>131</v>
      </c>
      <c r="N313">
        <v>8</v>
      </c>
      <c r="O313">
        <v>3.9</v>
      </c>
      <c r="P313" t="s">
        <v>66</v>
      </c>
      <c r="Q313" t="s">
        <v>38</v>
      </c>
      <c r="R313" t="s">
        <v>54</v>
      </c>
      <c r="S313">
        <v>1</v>
      </c>
      <c r="T313">
        <v>2</v>
      </c>
      <c r="U313">
        <v>1</v>
      </c>
      <c r="V313" t="s">
        <v>46</v>
      </c>
      <c r="W313" t="s">
        <v>36</v>
      </c>
      <c r="X313" t="s">
        <v>76</v>
      </c>
      <c r="Y313" t="s">
        <v>33</v>
      </c>
      <c r="Z313">
        <v>4.5</v>
      </c>
    </row>
    <row r="314" spans="1:26" x14ac:dyDescent="0.3">
      <c r="A314" t="s">
        <v>435</v>
      </c>
      <c r="B314" s="1">
        <v>46093</v>
      </c>
      <c r="C314" s="1">
        <v>46094</v>
      </c>
      <c r="D314" s="1">
        <v>46098</v>
      </c>
      <c r="E314" t="s">
        <v>82</v>
      </c>
      <c r="F314" t="s">
        <v>83</v>
      </c>
      <c r="G314" t="s">
        <v>84</v>
      </c>
      <c r="H314">
        <v>1623</v>
      </c>
      <c r="I314" t="s">
        <v>87</v>
      </c>
      <c r="J314">
        <v>7</v>
      </c>
      <c r="K314">
        <v>16230</v>
      </c>
      <c r="L314">
        <v>10</v>
      </c>
      <c r="M314" t="s">
        <v>85</v>
      </c>
      <c r="N314">
        <v>1</v>
      </c>
      <c r="O314">
        <v>3.5</v>
      </c>
      <c r="P314" t="s">
        <v>32</v>
      </c>
      <c r="Q314" t="s">
        <v>62</v>
      </c>
      <c r="R314" t="s">
        <v>67</v>
      </c>
      <c r="S314">
        <v>3</v>
      </c>
      <c r="T314">
        <v>4</v>
      </c>
      <c r="U314">
        <v>1</v>
      </c>
      <c r="V314" t="s">
        <v>46</v>
      </c>
      <c r="W314" t="s">
        <v>36</v>
      </c>
      <c r="X314" t="s">
        <v>95</v>
      </c>
      <c r="Y314" t="s">
        <v>33</v>
      </c>
      <c r="Z314">
        <v>4.9000000000000004</v>
      </c>
    </row>
    <row r="315" spans="1:26" x14ac:dyDescent="0.3">
      <c r="A315" t="s">
        <v>436</v>
      </c>
      <c r="B315" s="1">
        <v>46031</v>
      </c>
      <c r="C315" s="1">
        <v>46032</v>
      </c>
      <c r="D315" s="1">
        <v>46038</v>
      </c>
      <c r="E315" t="s">
        <v>57</v>
      </c>
      <c r="F315" t="s">
        <v>58</v>
      </c>
      <c r="G315" t="s">
        <v>59</v>
      </c>
      <c r="H315">
        <v>1557</v>
      </c>
      <c r="I315" t="s">
        <v>30</v>
      </c>
      <c r="J315">
        <v>2</v>
      </c>
      <c r="K315">
        <v>9342</v>
      </c>
      <c r="L315">
        <v>7</v>
      </c>
      <c r="M315" t="s">
        <v>97</v>
      </c>
      <c r="N315">
        <v>7</v>
      </c>
      <c r="O315">
        <v>3.5</v>
      </c>
      <c r="P315" t="s">
        <v>53</v>
      </c>
      <c r="Q315" t="s">
        <v>33</v>
      </c>
      <c r="R315" t="s">
        <v>54</v>
      </c>
      <c r="S315">
        <v>3</v>
      </c>
      <c r="T315">
        <v>6</v>
      </c>
      <c r="U315">
        <v>3</v>
      </c>
      <c r="V315" t="s">
        <v>46</v>
      </c>
      <c r="W315" t="s">
        <v>55</v>
      </c>
      <c r="X315" t="s">
        <v>76</v>
      </c>
      <c r="Y315" t="s">
        <v>38</v>
      </c>
      <c r="Z315">
        <v>3.4</v>
      </c>
    </row>
    <row r="316" spans="1:26" x14ac:dyDescent="0.3">
      <c r="A316" t="s">
        <v>437</v>
      </c>
      <c r="B316" s="1">
        <v>46087</v>
      </c>
      <c r="C316" s="1">
        <v>46088</v>
      </c>
      <c r="D316" s="1">
        <v>46091</v>
      </c>
      <c r="E316" t="s">
        <v>27</v>
      </c>
      <c r="F316" t="s">
        <v>28</v>
      </c>
      <c r="G316" t="s">
        <v>29</v>
      </c>
      <c r="H316">
        <v>281</v>
      </c>
      <c r="I316" t="s">
        <v>60</v>
      </c>
      <c r="J316">
        <v>9</v>
      </c>
      <c r="K316">
        <v>2248</v>
      </c>
      <c r="L316">
        <v>7</v>
      </c>
      <c r="M316" t="s">
        <v>153</v>
      </c>
      <c r="N316">
        <v>7</v>
      </c>
      <c r="O316">
        <v>4.5</v>
      </c>
      <c r="P316" t="s">
        <v>32</v>
      </c>
      <c r="Q316" t="s">
        <v>62</v>
      </c>
      <c r="R316" t="s">
        <v>54</v>
      </c>
      <c r="S316">
        <v>1</v>
      </c>
      <c r="T316">
        <v>3</v>
      </c>
      <c r="U316">
        <v>2</v>
      </c>
      <c r="V316" t="s">
        <v>46</v>
      </c>
      <c r="W316" t="s">
        <v>68</v>
      </c>
      <c r="X316" t="s">
        <v>47</v>
      </c>
      <c r="Y316" t="s">
        <v>38</v>
      </c>
      <c r="Z316">
        <v>5</v>
      </c>
    </row>
    <row r="317" spans="1:26" x14ac:dyDescent="0.3">
      <c r="A317" t="s">
        <v>438</v>
      </c>
      <c r="B317" s="1">
        <v>46087</v>
      </c>
      <c r="C317" s="1">
        <v>46088</v>
      </c>
      <c r="D317" s="1">
        <v>46091</v>
      </c>
      <c r="E317" t="s">
        <v>27</v>
      </c>
      <c r="F317" t="s">
        <v>28</v>
      </c>
      <c r="G317" t="s">
        <v>29</v>
      </c>
      <c r="H317">
        <v>1481</v>
      </c>
      <c r="I317" t="s">
        <v>30</v>
      </c>
      <c r="J317">
        <v>7</v>
      </c>
      <c r="K317">
        <v>17772</v>
      </c>
      <c r="L317">
        <v>5</v>
      </c>
      <c r="M317" t="s">
        <v>88</v>
      </c>
      <c r="N317">
        <v>5</v>
      </c>
      <c r="O317">
        <v>3.5</v>
      </c>
      <c r="P317" t="s">
        <v>66</v>
      </c>
      <c r="Q317" t="s">
        <v>62</v>
      </c>
      <c r="R317" t="s">
        <v>54</v>
      </c>
      <c r="S317">
        <v>3</v>
      </c>
      <c r="T317">
        <v>3</v>
      </c>
      <c r="U317">
        <v>0</v>
      </c>
      <c r="V317" t="s">
        <v>35</v>
      </c>
      <c r="W317" t="s">
        <v>55</v>
      </c>
      <c r="X317" t="s">
        <v>95</v>
      </c>
      <c r="Y317" t="s">
        <v>33</v>
      </c>
      <c r="Z317">
        <v>4.9000000000000004</v>
      </c>
    </row>
    <row r="318" spans="1:26" x14ac:dyDescent="0.3">
      <c r="A318" t="s">
        <v>439</v>
      </c>
      <c r="B318" s="1">
        <v>46101</v>
      </c>
      <c r="C318" s="1">
        <v>46103</v>
      </c>
      <c r="D318" s="1">
        <v>46106</v>
      </c>
      <c r="E318" t="s">
        <v>40</v>
      </c>
      <c r="F318" t="s">
        <v>41</v>
      </c>
      <c r="G318" t="s">
        <v>42</v>
      </c>
      <c r="H318">
        <v>1054</v>
      </c>
      <c r="I318" t="s">
        <v>60</v>
      </c>
      <c r="J318">
        <v>10</v>
      </c>
      <c r="K318">
        <v>7378</v>
      </c>
      <c r="L318">
        <v>8</v>
      </c>
      <c r="M318" t="s">
        <v>131</v>
      </c>
      <c r="N318">
        <v>15</v>
      </c>
      <c r="O318">
        <v>4.2</v>
      </c>
      <c r="P318" t="s">
        <v>53</v>
      </c>
      <c r="Q318" t="s">
        <v>33</v>
      </c>
      <c r="R318" t="s">
        <v>67</v>
      </c>
      <c r="S318">
        <v>2</v>
      </c>
      <c r="T318">
        <v>3</v>
      </c>
      <c r="U318">
        <v>1</v>
      </c>
      <c r="V318" t="s">
        <v>46</v>
      </c>
      <c r="W318" t="s">
        <v>55</v>
      </c>
      <c r="X318" t="s">
        <v>76</v>
      </c>
      <c r="Y318" t="s">
        <v>33</v>
      </c>
      <c r="Z318">
        <v>4.5999999999999996</v>
      </c>
    </row>
    <row r="319" spans="1:26" x14ac:dyDescent="0.3">
      <c r="A319" t="s">
        <v>440</v>
      </c>
      <c r="B319" s="1">
        <v>46133</v>
      </c>
      <c r="C319" s="1">
        <v>46133</v>
      </c>
      <c r="D319" s="1">
        <v>46136</v>
      </c>
      <c r="E319" t="s">
        <v>57</v>
      </c>
      <c r="F319" t="s">
        <v>58</v>
      </c>
      <c r="G319" t="s">
        <v>59</v>
      </c>
      <c r="H319">
        <v>1610</v>
      </c>
      <c r="I319" t="s">
        <v>60</v>
      </c>
      <c r="J319">
        <v>7</v>
      </c>
      <c r="K319">
        <v>19320</v>
      </c>
      <c r="L319">
        <v>6</v>
      </c>
      <c r="M319" t="s">
        <v>97</v>
      </c>
      <c r="N319">
        <v>15</v>
      </c>
      <c r="O319">
        <v>4.0999999999999996</v>
      </c>
      <c r="P319" t="s">
        <v>45</v>
      </c>
      <c r="Q319" t="s">
        <v>62</v>
      </c>
      <c r="R319" t="s">
        <v>67</v>
      </c>
      <c r="S319">
        <v>3</v>
      </c>
      <c r="T319">
        <v>3</v>
      </c>
      <c r="U319">
        <v>0</v>
      </c>
      <c r="V319" t="s">
        <v>35</v>
      </c>
      <c r="W319" t="s">
        <v>36</v>
      </c>
      <c r="X319" t="s">
        <v>47</v>
      </c>
      <c r="Y319" t="s">
        <v>38</v>
      </c>
      <c r="Z319">
        <v>4.5</v>
      </c>
    </row>
    <row r="320" spans="1:26" x14ac:dyDescent="0.3">
      <c r="A320" t="s">
        <v>441</v>
      </c>
      <c r="B320" s="1">
        <v>46120</v>
      </c>
      <c r="C320" s="1">
        <v>46121</v>
      </c>
      <c r="D320" s="1">
        <v>46123</v>
      </c>
      <c r="E320" t="s">
        <v>111</v>
      </c>
      <c r="F320" t="s">
        <v>27</v>
      </c>
      <c r="G320" t="s">
        <v>112</v>
      </c>
      <c r="H320">
        <v>1042</v>
      </c>
      <c r="I320" t="s">
        <v>30</v>
      </c>
      <c r="J320">
        <v>8</v>
      </c>
      <c r="K320">
        <v>11462</v>
      </c>
      <c r="L320">
        <v>10</v>
      </c>
      <c r="M320" t="s">
        <v>31</v>
      </c>
      <c r="N320">
        <v>5</v>
      </c>
      <c r="O320">
        <v>3.3</v>
      </c>
      <c r="P320" t="s">
        <v>45</v>
      </c>
      <c r="Q320" t="s">
        <v>38</v>
      </c>
      <c r="R320" t="s">
        <v>67</v>
      </c>
      <c r="S320">
        <v>2</v>
      </c>
      <c r="T320">
        <v>2</v>
      </c>
      <c r="U320">
        <v>0</v>
      </c>
      <c r="V320" t="s">
        <v>35</v>
      </c>
      <c r="W320" t="s">
        <v>55</v>
      </c>
      <c r="X320" t="s">
        <v>76</v>
      </c>
      <c r="Y320" t="s">
        <v>62</v>
      </c>
      <c r="Z320">
        <v>4.2</v>
      </c>
    </row>
    <row r="321" spans="1:26" x14ac:dyDescent="0.3">
      <c r="A321" t="s">
        <v>442</v>
      </c>
      <c r="B321" s="1">
        <v>46101</v>
      </c>
      <c r="C321" s="1">
        <v>46101</v>
      </c>
      <c r="D321" s="1">
        <v>46105</v>
      </c>
      <c r="E321" t="s">
        <v>40</v>
      </c>
      <c r="F321" t="s">
        <v>41</v>
      </c>
      <c r="G321" t="s">
        <v>42</v>
      </c>
      <c r="H321">
        <v>672</v>
      </c>
      <c r="I321" t="s">
        <v>87</v>
      </c>
      <c r="J321">
        <v>6</v>
      </c>
      <c r="K321">
        <v>4032</v>
      </c>
      <c r="L321">
        <v>10</v>
      </c>
      <c r="M321" t="s">
        <v>170</v>
      </c>
      <c r="N321">
        <v>8</v>
      </c>
      <c r="O321">
        <v>3.3</v>
      </c>
      <c r="P321" t="s">
        <v>53</v>
      </c>
      <c r="Q321" t="s">
        <v>33</v>
      </c>
      <c r="R321" t="s">
        <v>54</v>
      </c>
      <c r="S321">
        <v>1</v>
      </c>
      <c r="T321">
        <v>4</v>
      </c>
      <c r="U321">
        <v>3</v>
      </c>
      <c r="V321" t="s">
        <v>46</v>
      </c>
      <c r="W321" t="s">
        <v>68</v>
      </c>
      <c r="X321" t="s">
        <v>95</v>
      </c>
      <c r="Y321" t="s">
        <v>38</v>
      </c>
      <c r="Z321">
        <v>3.3</v>
      </c>
    </row>
    <row r="322" spans="1:26" x14ac:dyDescent="0.3">
      <c r="A322" t="s">
        <v>443</v>
      </c>
      <c r="B322" s="1">
        <v>46051</v>
      </c>
      <c r="C322" s="1">
        <v>46051</v>
      </c>
      <c r="D322" s="1">
        <v>46056</v>
      </c>
      <c r="E322" t="s">
        <v>111</v>
      </c>
      <c r="F322" t="s">
        <v>27</v>
      </c>
      <c r="G322" t="s">
        <v>112</v>
      </c>
      <c r="H322">
        <v>1765</v>
      </c>
      <c r="I322" t="s">
        <v>87</v>
      </c>
      <c r="J322">
        <v>5</v>
      </c>
      <c r="K322">
        <v>15885</v>
      </c>
      <c r="L322">
        <v>6</v>
      </c>
      <c r="M322" t="s">
        <v>31</v>
      </c>
      <c r="N322">
        <v>11</v>
      </c>
      <c r="O322">
        <v>5</v>
      </c>
      <c r="P322" t="s">
        <v>45</v>
      </c>
      <c r="Q322" t="s">
        <v>38</v>
      </c>
      <c r="R322" t="s">
        <v>67</v>
      </c>
      <c r="S322">
        <v>3</v>
      </c>
      <c r="T322">
        <v>5</v>
      </c>
      <c r="U322">
        <v>2</v>
      </c>
      <c r="V322" t="s">
        <v>46</v>
      </c>
      <c r="W322" t="s">
        <v>68</v>
      </c>
      <c r="X322" t="s">
        <v>47</v>
      </c>
      <c r="Y322" t="s">
        <v>62</v>
      </c>
      <c r="Z322">
        <v>4.8</v>
      </c>
    </row>
    <row r="323" spans="1:26" x14ac:dyDescent="0.3">
      <c r="A323" t="s">
        <v>444</v>
      </c>
      <c r="B323" s="1">
        <v>46077</v>
      </c>
      <c r="C323" s="1">
        <v>46078</v>
      </c>
      <c r="D323" s="1">
        <v>46084</v>
      </c>
      <c r="E323" t="s">
        <v>27</v>
      </c>
      <c r="F323" t="s">
        <v>28</v>
      </c>
      <c r="G323" t="s">
        <v>29</v>
      </c>
      <c r="H323">
        <v>1445</v>
      </c>
      <c r="I323" t="s">
        <v>43</v>
      </c>
      <c r="J323">
        <v>6</v>
      </c>
      <c r="K323">
        <v>13005</v>
      </c>
      <c r="L323">
        <v>9</v>
      </c>
      <c r="M323" t="s">
        <v>31</v>
      </c>
      <c r="N323">
        <v>10</v>
      </c>
      <c r="O323">
        <v>4.2</v>
      </c>
      <c r="P323" t="s">
        <v>32</v>
      </c>
      <c r="Q323" t="s">
        <v>33</v>
      </c>
      <c r="R323" t="s">
        <v>67</v>
      </c>
      <c r="S323">
        <v>3</v>
      </c>
      <c r="T323">
        <v>6</v>
      </c>
      <c r="U323">
        <v>3</v>
      </c>
      <c r="V323" t="s">
        <v>46</v>
      </c>
      <c r="W323" t="s">
        <v>36</v>
      </c>
      <c r="X323" t="s">
        <v>37</v>
      </c>
      <c r="Y323" t="s">
        <v>33</v>
      </c>
      <c r="Z323">
        <v>4.0999999999999996</v>
      </c>
    </row>
    <row r="324" spans="1:26" x14ac:dyDescent="0.3">
      <c r="A324" t="s">
        <v>445</v>
      </c>
      <c r="B324" s="1">
        <v>46117</v>
      </c>
      <c r="C324" s="1">
        <v>46117</v>
      </c>
      <c r="D324" s="1">
        <v>46120</v>
      </c>
      <c r="E324" t="s">
        <v>111</v>
      </c>
      <c r="F324" t="s">
        <v>27</v>
      </c>
      <c r="G324" t="s">
        <v>112</v>
      </c>
      <c r="H324">
        <v>1257</v>
      </c>
      <c r="I324" t="s">
        <v>87</v>
      </c>
      <c r="J324">
        <v>4</v>
      </c>
      <c r="K324">
        <v>10056</v>
      </c>
      <c r="L324">
        <v>8</v>
      </c>
      <c r="M324" t="s">
        <v>205</v>
      </c>
      <c r="N324">
        <v>15</v>
      </c>
      <c r="O324">
        <v>3.6</v>
      </c>
      <c r="P324" t="s">
        <v>66</v>
      </c>
      <c r="Q324" t="s">
        <v>62</v>
      </c>
      <c r="R324" t="s">
        <v>67</v>
      </c>
      <c r="S324">
        <v>2</v>
      </c>
      <c r="T324">
        <v>3</v>
      </c>
      <c r="U324">
        <v>1</v>
      </c>
      <c r="V324" t="s">
        <v>46</v>
      </c>
      <c r="W324" t="s">
        <v>55</v>
      </c>
      <c r="X324" t="s">
        <v>63</v>
      </c>
      <c r="Y324" t="s">
        <v>33</v>
      </c>
      <c r="Z324">
        <v>4</v>
      </c>
    </row>
    <row r="325" spans="1:26" x14ac:dyDescent="0.3">
      <c r="A325" t="s">
        <v>446</v>
      </c>
      <c r="B325" s="1">
        <v>46041</v>
      </c>
      <c r="C325" s="1">
        <v>46042</v>
      </c>
      <c r="D325" s="1">
        <v>46043</v>
      </c>
      <c r="E325" t="s">
        <v>92</v>
      </c>
      <c r="F325" t="s">
        <v>93</v>
      </c>
      <c r="G325" t="s">
        <v>94</v>
      </c>
      <c r="H325">
        <v>385</v>
      </c>
      <c r="I325" t="s">
        <v>87</v>
      </c>
      <c r="J325">
        <v>3</v>
      </c>
      <c r="K325">
        <v>4620</v>
      </c>
      <c r="L325">
        <v>9</v>
      </c>
      <c r="M325" t="s">
        <v>65</v>
      </c>
      <c r="N325">
        <v>9</v>
      </c>
      <c r="O325">
        <v>3.3</v>
      </c>
      <c r="P325" t="s">
        <v>53</v>
      </c>
      <c r="Q325" t="s">
        <v>62</v>
      </c>
      <c r="R325" t="s">
        <v>34</v>
      </c>
      <c r="S325">
        <v>1</v>
      </c>
      <c r="T325">
        <v>1</v>
      </c>
      <c r="U325">
        <v>0</v>
      </c>
      <c r="V325" t="s">
        <v>35</v>
      </c>
      <c r="W325" t="s">
        <v>68</v>
      </c>
      <c r="X325" t="s">
        <v>76</v>
      </c>
      <c r="Y325" t="s">
        <v>33</v>
      </c>
      <c r="Z325">
        <v>4.8</v>
      </c>
    </row>
    <row r="326" spans="1:26" x14ac:dyDescent="0.3">
      <c r="A326" t="s">
        <v>447</v>
      </c>
      <c r="B326" s="1">
        <v>46135</v>
      </c>
      <c r="C326" s="1">
        <v>46136</v>
      </c>
      <c r="D326" s="1">
        <v>46140</v>
      </c>
      <c r="E326" t="s">
        <v>72</v>
      </c>
      <c r="F326" t="s">
        <v>73</v>
      </c>
      <c r="G326" t="s">
        <v>74</v>
      </c>
      <c r="H326">
        <v>712</v>
      </c>
      <c r="I326" t="s">
        <v>30</v>
      </c>
      <c r="J326">
        <v>3</v>
      </c>
      <c r="K326">
        <v>7832</v>
      </c>
      <c r="L326">
        <v>10</v>
      </c>
      <c r="M326" t="s">
        <v>118</v>
      </c>
      <c r="N326">
        <v>2</v>
      </c>
      <c r="O326">
        <v>3.2</v>
      </c>
      <c r="P326" t="s">
        <v>53</v>
      </c>
      <c r="Q326" t="s">
        <v>33</v>
      </c>
      <c r="R326" t="s">
        <v>34</v>
      </c>
      <c r="S326">
        <v>1</v>
      </c>
      <c r="T326">
        <v>4</v>
      </c>
      <c r="U326">
        <v>3</v>
      </c>
      <c r="V326" t="s">
        <v>46</v>
      </c>
      <c r="W326" t="s">
        <v>55</v>
      </c>
      <c r="X326" t="s">
        <v>76</v>
      </c>
      <c r="Y326" t="s">
        <v>33</v>
      </c>
      <c r="Z326">
        <v>4.9000000000000004</v>
      </c>
    </row>
    <row r="327" spans="1:26" x14ac:dyDescent="0.3">
      <c r="A327" t="s">
        <v>448</v>
      </c>
      <c r="B327" s="1">
        <v>46071</v>
      </c>
      <c r="C327" s="1">
        <v>46073</v>
      </c>
      <c r="D327" s="1">
        <v>46076</v>
      </c>
      <c r="E327" t="s">
        <v>111</v>
      </c>
      <c r="F327" t="s">
        <v>27</v>
      </c>
      <c r="G327" t="s">
        <v>112</v>
      </c>
      <c r="H327">
        <v>289</v>
      </c>
      <c r="I327" t="s">
        <v>60</v>
      </c>
      <c r="J327">
        <v>6</v>
      </c>
      <c r="K327">
        <v>2890</v>
      </c>
      <c r="L327">
        <v>10</v>
      </c>
      <c r="M327" t="s">
        <v>70</v>
      </c>
      <c r="N327">
        <v>3</v>
      </c>
      <c r="O327">
        <v>4.7</v>
      </c>
      <c r="P327" t="s">
        <v>45</v>
      </c>
      <c r="Q327" t="s">
        <v>33</v>
      </c>
      <c r="R327" t="s">
        <v>67</v>
      </c>
      <c r="S327">
        <v>1</v>
      </c>
      <c r="T327">
        <v>3</v>
      </c>
      <c r="U327">
        <v>2</v>
      </c>
      <c r="V327" t="s">
        <v>46</v>
      </c>
      <c r="W327" t="s">
        <v>55</v>
      </c>
      <c r="X327" t="s">
        <v>95</v>
      </c>
      <c r="Y327" t="s">
        <v>62</v>
      </c>
      <c r="Z327">
        <v>4.3</v>
      </c>
    </row>
    <row r="328" spans="1:26" x14ac:dyDescent="0.3">
      <c r="A328" t="s">
        <v>449</v>
      </c>
      <c r="B328" s="1">
        <v>46038</v>
      </c>
      <c r="C328" s="1">
        <v>46038</v>
      </c>
      <c r="D328" s="1">
        <v>46042</v>
      </c>
      <c r="E328" t="s">
        <v>40</v>
      </c>
      <c r="F328" t="s">
        <v>41</v>
      </c>
      <c r="G328" t="s">
        <v>42</v>
      </c>
      <c r="H328">
        <v>207</v>
      </c>
      <c r="I328" t="s">
        <v>30</v>
      </c>
      <c r="J328">
        <v>1</v>
      </c>
      <c r="K328">
        <v>1863</v>
      </c>
      <c r="L328">
        <v>8</v>
      </c>
      <c r="M328" t="s">
        <v>153</v>
      </c>
      <c r="N328">
        <v>9</v>
      </c>
      <c r="O328">
        <v>4.5999999999999996</v>
      </c>
      <c r="P328" t="s">
        <v>53</v>
      </c>
      <c r="Q328" t="s">
        <v>38</v>
      </c>
      <c r="R328" t="s">
        <v>67</v>
      </c>
      <c r="S328">
        <v>1</v>
      </c>
      <c r="T328">
        <v>4</v>
      </c>
      <c r="U328">
        <v>3</v>
      </c>
      <c r="V328" t="s">
        <v>46</v>
      </c>
      <c r="W328" t="s">
        <v>68</v>
      </c>
      <c r="X328" t="s">
        <v>95</v>
      </c>
      <c r="Y328" t="s">
        <v>62</v>
      </c>
      <c r="Z328">
        <v>3.2</v>
      </c>
    </row>
    <row r="329" spans="1:26" x14ac:dyDescent="0.3">
      <c r="A329" t="s">
        <v>450</v>
      </c>
      <c r="B329" s="1">
        <v>46099</v>
      </c>
      <c r="C329" s="1">
        <v>46099</v>
      </c>
      <c r="D329" s="1">
        <v>46102</v>
      </c>
      <c r="E329" t="s">
        <v>40</v>
      </c>
      <c r="F329" t="s">
        <v>41</v>
      </c>
      <c r="G329" t="s">
        <v>42</v>
      </c>
      <c r="H329">
        <v>1320</v>
      </c>
      <c r="I329" t="s">
        <v>30</v>
      </c>
      <c r="J329">
        <v>10</v>
      </c>
      <c r="K329">
        <v>14520</v>
      </c>
      <c r="L329">
        <v>9</v>
      </c>
      <c r="M329" t="s">
        <v>90</v>
      </c>
      <c r="N329">
        <v>1</v>
      </c>
      <c r="O329">
        <v>3.4</v>
      </c>
      <c r="P329" t="s">
        <v>32</v>
      </c>
      <c r="Q329" t="s">
        <v>33</v>
      </c>
      <c r="R329" t="s">
        <v>34</v>
      </c>
      <c r="S329">
        <v>2</v>
      </c>
      <c r="T329">
        <v>3</v>
      </c>
      <c r="U329">
        <v>1</v>
      </c>
      <c r="V329" t="s">
        <v>46</v>
      </c>
      <c r="W329" t="s">
        <v>36</v>
      </c>
      <c r="X329" t="s">
        <v>76</v>
      </c>
      <c r="Y329" t="s">
        <v>33</v>
      </c>
      <c r="Z329">
        <v>3.6</v>
      </c>
    </row>
    <row r="330" spans="1:26" x14ac:dyDescent="0.3">
      <c r="A330" t="s">
        <v>451</v>
      </c>
      <c r="B330" s="1">
        <v>46140</v>
      </c>
      <c r="C330" s="1">
        <v>46140</v>
      </c>
      <c r="D330" s="1">
        <v>46143</v>
      </c>
      <c r="E330" t="s">
        <v>27</v>
      </c>
      <c r="F330" t="s">
        <v>28</v>
      </c>
      <c r="G330" t="s">
        <v>29</v>
      </c>
      <c r="H330">
        <v>423</v>
      </c>
      <c r="I330" t="s">
        <v>43</v>
      </c>
      <c r="J330">
        <v>3</v>
      </c>
      <c r="K330">
        <v>2961</v>
      </c>
      <c r="L330">
        <v>10</v>
      </c>
      <c r="M330" t="s">
        <v>99</v>
      </c>
      <c r="N330">
        <v>10</v>
      </c>
      <c r="O330">
        <v>4.3</v>
      </c>
      <c r="P330" t="s">
        <v>45</v>
      </c>
      <c r="Q330" t="s">
        <v>62</v>
      </c>
      <c r="R330" t="s">
        <v>54</v>
      </c>
      <c r="S330">
        <v>1</v>
      </c>
      <c r="T330">
        <v>3</v>
      </c>
      <c r="U330">
        <v>2</v>
      </c>
      <c r="V330" t="s">
        <v>46</v>
      </c>
      <c r="W330" t="s">
        <v>36</v>
      </c>
      <c r="X330" t="s">
        <v>63</v>
      </c>
      <c r="Y330" t="s">
        <v>62</v>
      </c>
      <c r="Z330">
        <v>3.6</v>
      </c>
    </row>
    <row r="331" spans="1:26" x14ac:dyDescent="0.3">
      <c r="A331" t="s">
        <v>452</v>
      </c>
      <c r="B331" s="1">
        <v>46137</v>
      </c>
      <c r="C331" s="1">
        <v>46138</v>
      </c>
      <c r="D331" s="1">
        <v>46145</v>
      </c>
      <c r="E331" t="s">
        <v>72</v>
      </c>
      <c r="F331" t="s">
        <v>73</v>
      </c>
      <c r="G331" t="s">
        <v>74</v>
      </c>
      <c r="H331">
        <v>1753</v>
      </c>
      <c r="I331" t="s">
        <v>43</v>
      </c>
      <c r="J331">
        <v>9</v>
      </c>
      <c r="K331">
        <v>10518</v>
      </c>
      <c r="L331">
        <v>7</v>
      </c>
      <c r="M331" t="s">
        <v>116</v>
      </c>
      <c r="N331">
        <v>3</v>
      </c>
      <c r="O331">
        <v>3.2</v>
      </c>
      <c r="P331" t="s">
        <v>66</v>
      </c>
      <c r="Q331" t="s">
        <v>62</v>
      </c>
      <c r="R331" t="s">
        <v>54</v>
      </c>
      <c r="S331">
        <v>3</v>
      </c>
      <c r="T331">
        <v>7</v>
      </c>
      <c r="U331">
        <v>4</v>
      </c>
      <c r="V331" t="s">
        <v>46</v>
      </c>
      <c r="W331" t="s">
        <v>36</v>
      </c>
      <c r="X331" t="s">
        <v>37</v>
      </c>
      <c r="Y331" t="s">
        <v>33</v>
      </c>
      <c r="Z331">
        <v>3.1</v>
      </c>
    </row>
    <row r="332" spans="1:26" x14ac:dyDescent="0.3">
      <c r="A332" t="s">
        <v>453</v>
      </c>
      <c r="B332" s="1">
        <v>46096</v>
      </c>
      <c r="C332" s="1">
        <v>46098</v>
      </c>
      <c r="D332" s="1">
        <v>46103</v>
      </c>
      <c r="E332" t="s">
        <v>72</v>
      </c>
      <c r="F332" t="s">
        <v>73</v>
      </c>
      <c r="G332" t="s">
        <v>74</v>
      </c>
      <c r="H332">
        <v>1190</v>
      </c>
      <c r="I332" t="s">
        <v>30</v>
      </c>
      <c r="J332">
        <v>7</v>
      </c>
      <c r="K332">
        <v>11900</v>
      </c>
      <c r="L332">
        <v>7</v>
      </c>
      <c r="M332" t="s">
        <v>243</v>
      </c>
      <c r="N332">
        <v>9</v>
      </c>
      <c r="O332">
        <v>4.2</v>
      </c>
      <c r="P332" t="s">
        <v>66</v>
      </c>
      <c r="Q332" t="s">
        <v>38</v>
      </c>
      <c r="R332" t="s">
        <v>54</v>
      </c>
      <c r="S332">
        <v>2</v>
      </c>
      <c r="T332">
        <v>5</v>
      </c>
      <c r="U332">
        <v>3</v>
      </c>
      <c r="V332" t="s">
        <v>46</v>
      </c>
      <c r="W332" t="s">
        <v>55</v>
      </c>
      <c r="X332" t="s">
        <v>95</v>
      </c>
      <c r="Y332" t="s">
        <v>62</v>
      </c>
      <c r="Z332">
        <v>4.5999999999999996</v>
      </c>
    </row>
    <row r="333" spans="1:26" x14ac:dyDescent="0.3">
      <c r="A333" t="s">
        <v>454</v>
      </c>
      <c r="B333" s="1">
        <v>46136</v>
      </c>
      <c r="C333" s="1">
        <v>46138</v>
      </c>
      <c r="D333" s="1">
        <v>46144</v>
      </c>
      <c r="E333" t="s">
        <v>40</v>
      </c>
      <c r="F333" t="s">
        <v>41</v>
      </c>
      <c r="G333" t="s">
        <v>42</v>
      </c>
      <c r="H333">
        <v>1651</v>
      </c>
      <c r="I333" t="s">
        <v>30</v>
      </c>
      <c r="J333">
        <v>4</v>
      </c>
      <c r="K333">
        <v>9906</v>
      </c>
      <c r="L333">
        <v>5</v>
      </c>
      <c r="M333" t="s">
        <v>135</v>
      </c>
      <c r="N333">
        <v>8</v>
      </c>
      <c r="O333">
        <v>4.3</v>
      </c>
      <c r="P333" t="s">
        <v>32</v>
      </c>
      <c r="Q333" t="s">
        <v>33</v>
      </c>
      <c r="R333" t="s">
        <v>67</v>
      </c>
      <c r="S333">
        <v>3</v>
      </c>
      <c r="T333">
        <v>6</v>
      </c>
      <c r="U333">
        <v>3</v>
      </c>
      <c r="V333" t="s">
        <v>46</v>
      </c>
      <c r="W333" t="s">
        <v>36</v>
      </c>
      <c r="X333" t="s">
        <v>47</v>
      </c>
      <c r="Y333" t="s">
        <v>62</v>
      </c>
      <c r="Z333">
        <v>4.0999999999999996</v>
      </c>
    </row>
    <row r="334" spans="1:26" x14ac:dyDescent="0.3">
      <c r="A334" t="s">
        <v>455</v>
      </c>
      <c r="B334" s="1">
        <v>46104</v>
      </c>
      <c r="C334" s="1">
        <v>46104</v>
      </c>
      <c r="D334" s="1">
        <v>46109</v>
      </c>
      <c r="E334" t="s">
        <v>27</v>
      </c>
      <c r="F334" t="s">
        <v>28</v>
      </c>
      <c r="G334" t="s">
        <v>29</v>
      </c>
      <c r="H334">
        <v>1511</v>
      </c>
      <c r="I334" t="s">
        <v>60</v>
      </c>
      <c r="J334">
        <v>5</v>
      </c>
      <c r="K334">
        <v>12088</v>
      </c>
      <c r="L334">
        <v>5</v>
      </c>
      <c r="M334" t="s">
        <v>131</v>
      </c>
      <c r="N334">
        <v>5</v>
      </c>
      <c r="O334">
        <v>4</v>
      </c>
      <c r="P334" t="s">
        <v>66</v>
      </c>
      <c r="Q334" t="s">
        <v>38</v>
      </c>
      <c r="R334" t="s">
        <v>67</v>
      </c>
      <c r="S334">
        <v>3</v>
      </c>
      <c r="T334">
        <v>5</v>
      </c>
      <c r="U334">
        <v>2</v>
      </c>
      <c r="V334" t="s">
        <v>46</v>
      </c>
      <c r="W334" t="s">
        <v>68</v>
      </c>
      <c r="X334" t="s">
        <v>95</v>
      </c>
      <c r="Y334" t="s">
        <v>33</v>
      </c>
      <c r="Z334">
        <v>4.0999999999999996</v>
      </c>
    </row>
    <row r="335" spans="1:26" x14ac:dyDescent="0.3">
      <c r="A335" t="s">
        <v>456</v>
      </c>
      <c r="B335" s="1">
        <v>46026</v>
      </c>
      <c r="C335" s="1">
        <v>46026</v>
      </c>
      <c r="D335" s="1">
        <v>46032</v>
      </c>
      <c r="E335" t="s">
        <v>40</v>
      </c>
      <c r="F335" t="s">
        <v>41</v>
      </c>
      <c r="G335" t="s">
        <v>42</v>
      </c>
      <c r="H335">
        <v>876</v>
      </c>
      <c r="I335" t="s">
        <v>30</v>
      </c>
      <c r="J335">
        <v>8</v>
      </c>
      <c r="K335">
        <v>7884</v>
      </c>
      <c r="L335">
        <v>5</v>
      </c>
      <c r="M335" t="s">
        <v>97</v>
      </c>
      <c r="N335">
        <v>3</v>
      </c>
      <c r="O335">
        <v>4</v>
      </c>
      <c r="P335" t="s">
        <v>53</v>
      </c>
      <c r="Q335" t="s">
        <v>33</v>
      </c>
      <c r="R335" t="s">
        <v>34</v>
      </c>
      <c r="S335">
        <v>1</v>
      </c>
      <c r="T335">
        <v>6</v>
      </c>
      <c r="U335">
        <v>5</v>
      </c>
      <c r="V335" t="s">
        <v>46</v>
      </c>
      <c r="W335" t="s">
        <v>36</v>
      </c>
      <c r="X335" t="s">
        <v>76</v>
      </c>
      <c r="Y335" t="s">
        <v>62</v>
      </c>
      <c r="Z335">
        <v>4.0999999999999996</v>
      </c>
    </row>
    <row r="336" spans="1:26" x14ac:dyDescent="0.3">
      <c r="A336" t="s">
        <v>457</v>
      </c>
      <c r="B336" s="1">
        <v>46109</v>
      </c>
      <c r="C336" s="1">
        <v>46110</v>
      </c>
      <c r="D336" s="1">
        <v>46115</v>
      </c>
      <c r="E336" t="s">
        <v>27</v>
      </c>
      <c r="F336" t="s">
        <v>28</v>
      </c>
      <c r="G336" t="s">
        <v>29</v>
      </c>
      <c r="H336">
        <v>626</v>
      </c>
      <c r="I336" t="s">
        <v>30</v>
      </c>
      <c r="J336">
        <v>6</v>
      </c>
      <c r="K336">
        <v>3756</v>
      </c>
      <c r="L336">
        <v>6</v>
      </c>
      <c r="M336" t="s">
        <v>44</v>
      </c>
      <c r="N336">
        <v>14</v>
      </c>
      <c r="O336">
        <v>3.1</v>
      </c>
      <c r="P336" t="s">
        <v>53</v>
      </c>
      <c r="Q336" t="s">
        <v>33</v>
      </c>
      <c r="R336" t="s">
        <v>54</v>
      </c>
      <c r="S336">
        <v>1</v>
      </c>
      <c r="T336">
        <v>5</v>
      </c>
      <c r="U336">
        <v>4</v>
      </c>
      <c r="V336" t="s">
        <v>46</v>
      </c>
      <c r="W336" t="s">
        <v>68</v>
      </c>
      <c r="X336" t="s">
        <v>37</v>
      </c>
      <c r="Y336" t="s">
        <v>33</v>
      </c>
      <c r="Z336">
        <v>3.2</v>
      </c>
    </row>
    <row r="337" spans="1:26" x14ac:dyDescent="0.3">
      <c r="A337" t="s">
        <v>458</v>
      </c>
      <c r="B337" s="1">
        <v>46123</v>
      </c>
      <c r="C337" s="1">
        <v>46124</v>
      </c>
      <c r="D337" s="1">
        <v>46129</v>
      </c>
      <c r="E337" t="s">
        <v>49</v>
      </c>
      <c r="F337" t="s">
        <v>50</v>
      </c>
      <c r="G337" t="s">
        <v>51</v>
      </c>
      <c r="H337">
        <v>1653</v>
      </c>
      <c r="I337" t="s">
        <v>87</v>
      </c>
      <c r="J337">
        <v>5</v>
      </c>
      <c r="K337">
        <v>14877</v>
      </c>
      <c r="L337">
        <v>5</v>
      </c>
      <c r="M337" t="s">
        <v>153</v>
      </c>
      <c r="N337">
        <v>15</v>
      </c>
      <c r="O337">
        <v>3.5</v>
      </c>
      <c r="P337" t="s">
        <v>53</v>
      </c>
      <c r="Q337" t="s">
        <v>62</v>
      </c>
      <c r="R337" t="s">
        <v>67</v>
      </c>
      <c r="S337">
        <v>3</v>
      </c>
      <c r="T337">
        <v>5</v>
      </c>
      <c r="U337">
        <v>2</v>
      </c>
      <c r="V337" t="s">
        <v>46</v>
      </c>
      <c r="W337" t="s">
        <v>36</v>
      </c>
      <c r="X337" t="s">
        <v>63</v>
      </c>
      <c r="Y337" t="s">
        <v>62</v>
      </c>
      <c r="Z337">
        <v>4.5999999999999996</v>
      </c>
    </row>
    <row r="338" spans="1:26" x14ac:dyDescent="0.3">
      <c r="A338" t="s">
        <v>459</v>
      </c>
      <c r="B338" s="1">
        <v>46122</v>
      </c>
      <c r="C338" s="1">
        <v>46122</v>
      </c>
      <c r="D338" s="1">
        <v>46126</v>
      </c>
      <c r="E338" t="s">
        <v>72</v>
      </c>
      <c r="F338" t="s">
        <v>73</v>
      </c>
      <c r="G338" t="s">
        <v>74</v>
      </c>
      <c r="H338">
        <v>1108</v>
      </c>
      <c r="I338" t="s">
        <v>87</v>
      </c>
      <c r="J338">
        <v>8</v>
      </c>
      <c r="K338">
        <v>11080</v>
      </c>
      <c r="L338">
        <v>6</v>
      </c>
      <c r="M338" t="s">
        <v>160</v>
      </c>
      <c r="N338">
        <v>6</v>
      </c>
      <c r="O338">
        <v>4.8</v>
      </c>
      <c r="P338" t="s">
        <v>66</v>
      </c>
      <c r="Q338" t="s">
        <v>62</v>
      </c>
      <c r="R338" t="s">
        <v>67</v>
      </c>
      <c r="S338">
        <v>2</v>
      </c>
      <c r="T338">
        <v>4</v>
      </c>
      <c r="U338">
        <v>2</v>
      </c>
      <c r="V338" t="s">
        <v>46</v>
      </c>
      <c r="W338" t="s">
        <v>55</v>
      </c>
      <c r="X338" t="s">
        <v>37</v>
      </c>
      <c r="Y338" t="s">
        <v>38</v>
      </c>
      <c r="Z338">
        <v>4.4000000000000004</v>
      </c>
    </row>
    <row r="339" spans="1:26" x14ac:dyDescent="0.3">
      <c r="A339" t="s">
        <v>460</v>
      </c>
      <c r="B339" s="1">
        <v>46081</v>
      </c>
      <c r="C339" s="1">
        <v>46082</v>
      </c>
      <c r="D339" s="1">
        <v>46085</v>
      </c>
      <c r="E339" t="s">
        <v>72</v>
      </c>
      <c r="F339" t="s">
        <v>73</v>
      </c>
      <c r="G339" t="s">
        <v>74</v>
      </c>
      <c r="H339">
        <v>208</v>
      </c>
      <c r="I339" t="s">
        <v>30</v>
      </c>
      <c r="J339">
        <v>1</v>
      </c>
      <c r="K339">
        <v>2288</v>
      </c>
      <c r="L339">
        <v>9</v>
      </c>
      <c r="M339" t="s">
        <v>109</v>
      </c>
      <c r="N339">
        <v>6</v>
      </c>
      <c r="O339">
        <v>3.9</v>
      </c>
      <c r="P339" t="s">
        <v>32</v>
      </c>
      <c r="Q339" t="s">
        <v>38</v>
      </c>
      <c r="R339" t="s">
        <v>54</v>
      </c>
      <c r="S339">
        <v>1</v>
      </c>
      <c r="T339">
        <v>3</v>
      </c>
      <c r="U339">
        <v>2</v>
      </c>
      <c r="V339" t="s">
        <v>46</v>
      </c>
      <c r="W339" t="s">
        <v>55</v>
      </c>
      <c r="X339" t="s">
        <v>47</v>
      </c>
      <c r="Y339" t="s">
        <v>38</v>
      </c>
      <c r="Z339">
        <v>4.2</v>
      </c>
    </row>
    <row r="340" spans="1:26" x14ac:dyDescent="0.3">
      <c r="A340" t="s">
        <v>461</v>
      </c>
      <c r="B340" s="1">
        <v>46062</v>
      </c>
      <c r="C340" s="1">
        <v>46064</v>
      </c>
      <c r="D340" s="1">
        <v>46065</v>
      </c>
      <c r="E340" t="s">
        <v>40</v>
      </c>
      <c r="F340" t="s">
        <v>41</v>
      </c>
      <c r="G340" t="s">
        <v>42</v>
      </c>
      <c r="H340">
        <v>857</v>
      </c>
      <c r="I340" t="s">
        <v>60</v>
      </c>
      <c r="J340">
        <v>4</v>
      </c>
      <c r="K340">
        <v>6856</v>
      </c>
      <c r="L340">
        <v>7</v>
      </c>
      <c r="M340" t="s">
        <v>52</v>
      </c>
      <c r="N340">
        <v>6</v>
      </c>
      <c r="O340">
        <v>4.5</v>
      </c>
      <c r="P340" t="s">
        <v>32</v>
      </c>
      <c r="Q340" t="s">
        <v>62</v>
      </c>
      <c r="R340" t="s">
        <v>67</v>
      </c>
      <c r="S340">
        <v>1</v>
      </c>
      <c r="T340">
        <v>1</v>
      </c>
      <c r="U340">
        <v>0</v>
      </c>
      <c r="V340" t="s">
        <v>35</v>
      </c>
      <c r="W340" t="s">
        <v>68</v>
      </c>
      <c r="X340" t="s">
        <v>63</v>
      </c>
      <c r="Y340" t="s">
        <v>38</v>
      </c>
      <c r="Z340">
        <v>4.9000000000000004</v>
      </c>
    </row>
    <row r="341" spans="1:26" x14ac:dyDescent="0.3">
      <c r="A341" t="s">
        <v>462</v>
      </c>
      <c r="B341" s="1">
        <v>46094</v>
      </c>
      <c r="C341" s="1">
        <v>46096</v>
      </c>
      <c r="D341" s="1">
        <v>46099</v>
      </c>
      <c r="E341" t="s">
        <v>72</v>
      </c>
      <c r="F341" t="s">
        <v>73</v>
      </c>
      <c r="G341" t="s">
        <v>74</v>
      </c>
      <c r="H341">
        <v>623</v>
      </c>
      <c r="I341" t="s">
        <v>30</v>
      </c>
      <c r="J341">
        <v>9</v>
      </c>
      <c r="K341">
        <v>4984</v>
      </c>
      <c r="L341">
        <v>7</v>
      </c>
      <c r="M341" t="s">
        <v>70</v>
      </c>
      <c r="N341">
        <v>12</v>
      </c>
      <c r="O341">
        <v>4.5999999999999996</v>
      </c>
      <c r="P341" t="s">
        <v>45</v>
      </c>
      <c r="Q341" t="s">
        <v>38</v>
      </c>
      <c r="R341" t="s">
        <v>67</v>
      </c>
      <c r="S341">
        <v>1</v>
      </c>
      <c r="T341">
        <v>3</v>
      </c>
      <c r="U341">
        <v>2</v>
      </c>
      <c r="V341" t="s">
        <v>46</v>
      </c>
      <c r="W341" t="s">
        <v>55</v>
      </c>
      <c r="X341" t="s">
        <v>95</v>
      </c>
      <c r="Y341" t="s">
        <v>38</v>
      </c>
      <c r="Z341">
        <v>3.3</v>
      </c>
    </row>
    <row r="342" spans="1:26" x14ac:dyDescent="0.3">
      <c r="A342" t="s">
        <v>463</v>
      </c>
      <c r="B342" s="1">
        <v>46083</v>
      </c>
      <c r="C342" s="1">
        <v>46085</v>
      </c>
      <c r="D342" s="1">
        <v>46087</v>
      </c>
      <c r="E342" t="s">
        <v>27</v>
      </c>
      <c r="F342" t="s">
        <v>28</v>
      </c>
      <c r="G342" t="s">
        <v>29</v>
      </c>
      <c r="H342">
        <v>416</v>
      </c>
      <c r="I342" t="s">
        <v>43</v>
      </c>
      <c r="J342">
        <v>1</v>
      </c>
      <c r="K342">
        <v>2496</v>
      </c>
      <c r="L342">
        <v>8</v>
      </c>
      <c r="M342" t="s">
        <v>205</v>
      </c>
      <c r="N342">
        <v>3</v>
      </c>
      <c r="O342">
        <v>4.4000000000000004</v>
      </c>
      <c r="P342" t="s">
        <v>53</v>
      </c>
      <c r="Q342" t="s">
        <v>33</v>
      </c>
      <c r="R342" t="s">
        <v>34</v>
      </c>
      <c r="S342">
        <v>1</v>
      </c>
      <c r="T342">
        <v>2</v>
      </c>
      <c r="U342">
        <v>1</v>
      </c>
      <c r="V342" t="s">
        <v>46</v>
      </c>
      <c r="W342" t="s">
        <v>55</v>
      </c>
      <c r="X342" t="s">
        <v>76</v>
      </c>
      <c r="Y342" t="s">
        <v>38</v>
      </c>
      <c r="Z342">
        <v>4.9000000000000004</v>
      </c>
    </row>
    <row r="343" spans="1:26" x14ac:dyDescent="0.3">
      <c r="A343" t="s">
        <v>464</v>
      </c>
      <c r="B343" s="1">
        <v>46119</v>
      </c>
      <c r="C343" s="1">
        <v>46120</v>
      </c>
      <c r="D343" s="1">
        <v>46121</v>
      </c>
      <c r="E343" t="s">
        <v>82</v>
      </c>
      <c r="F343" t="s">
        <v>83</v>
      </c>
      <c r="G343" t="s">
        <v>84</v>
      </c>
      <c r="H343">
        <v>390</v>
      </c>
      <c r="I343" t="s">
        <v>43</v>
      </c>
      <c r="J343">
        <v>2</v>
      </c>
      <c r="K343">
        <v>3510</v>
      </c>
      <c r="L343">
        <v>7</v>
      </c>
      <c r="M343" t="s">
        <v>123</v>
      </c>
      <c r="N343">
        <v>11</v>
      </c>
      <c r="O343">
        <v>4.4000000000000004</v>
      </c>
      <c r="P343" t="s">
        <v>53</v>
      </c>
      <c r="Q343" t="s">
        <v>62</v>
      </c>
      <c r="R343" t="s">
        <v>67</v>
      </c>
      <c r="S343">
        <v>1</v>
      </c>
      <c r="T343">
        <v>1</v>
      </c>
      <c r="U343">
        <v>0</v>
      </c>
      <c r="V343" t="s">
        <v>35</v>
      </c>
      <c r="W343" t="s">
        <v>55</v>
      </c>
      <c r="X343" t="s">
        <v>47</v>
      </c>
      <c r="Y343" t="s">
        <v>62</v>
      </c>
      <c r="Z343">
        <v>3.8</v>
      </c>
    </row>
    <row r="344" spans="1:26" x14ac:dyDescent="0.3">
      <c r="A344" t="s">
        <v>465</v>
      </c>
      <c r="B344" s="1">
        <v>46112</v>
      </c>
      <c r="C344" s="1">
        <v>46114</v>
      </c>
      <c r="D344" s="1">
        <v>46116</v>
      </c>
      <c r="E344" t="s">
        <v>49</v>
      </c>
      <c r="F344" t="s">
        <v>50</v>
      </c>
      <c r="G344" t="s">
        <v>51</v>
      </c>
      <c r="H344">
        <v>865</v>
      </c>
      <c r="I344" t="s">
        <v>43</v>
      </c>
      <c r="J344">
        <v>8</v>
      </c>
      <c r="K344">
        <v>5190</v>
      </c>
      <c r="L344">
        <v>5</v>
      </c>
      <c r="M344" t="s">
        <v>116</v>
      </c>
      <c r="N344">
        <v>2</v>
      </c>
      <c r="O344">
        <v>3.7</v>
      </c>
      <c r="P344" t="s">
        <v>53</v>
      </c>
      <c r="Q344" t="s">
        <v>38</v>
      </c>
      <c r="R344" t="s">
        <v>34</v>
      </c>
      <c r="S344">
        <v>1</v>
      </c>
      <c r="T344">
        <v>2</v>
      </c>
      <c r="U344">
        <v>1</v>
      </c>
      <c r="V344" t="s">
        <v>46</v>
      </c>
      <c r="W344" t="s">
        <v>55</v>
      </c>
      <c r="X344" t="s">
        <v>63</v>
      </c>
      <c r="Y344" t="s">
        <v>62</v>
      </c>
      <c r="Z344">
        <v>4.5999999999999996</v>
      </c>
    </row>
    <row r="345" spans="1:26" x14ac:dyDescent="0.3">
      <c r="A345" t="s">
        <v>466</v>
      </c>
      <c r="B345" s="1">
        <v>46124</v>
      </c>
      <c r="C345" s="1">
        <v>46124</v>
      </c>
      <c r="D345" s="1">
        <v>46126</v>
      </c>
      <c r="E345" t="s">
        <v>49</v>
      </c>
      <c r="F345" t="s">
        <v>50</v>
      </c>
      <c r="G345" t="s">
        <v>51</v>
      </c>
      <c r="H345">
        <v>1338</v>
      </c>
      <c r="I345" t="s">
        <v>87</v>
      </c>
      <c r="J345">
        <v>5</v>
      </c>
      <c r="K345">
        <v>13380</v>
      </c>
      <c r="L345">
        <v>8</v>
      </c>
      <c r="M345" t="s">
        <v>205</v>
      </c>
      <c r="N345">
        <v>10</v>
      </c>
      <c r="O345">
        <v>3.8</v>
      </c>
      <c r="P345" t="s">
        <v>45</v>
      </c>
      <c r="Q345" t="s">
        <v>33</v>
      </c>
      <c r="R345" t="s">
        <v>67</v>
      </c>
      <c r="S345">
        <v>2</v>
      </c>
      <c r="T345">
        <v>2</v>
      </c>
      <c r="U345">
        <v>0</v>
      </c>
      <c r="V345" t="s">
        <v>35</v>
      </c>
      <c r="W345" t="s">
        <v>68</v>
      </c>
      <c r="X345" t="s">
        <v>37</v>
      </c>
      <c r="Y345" t="s">
        <v>33</v>
      </c>
      <c r="Z345">
        <v>4.2</v>
      </c>
    </row>
    <row r="346" spans="1:26" x14ac:dyDescent="0.3">
      <c r="A346" t="s">
        <v>467</v>
      </c>
      <c r="B346" s="1">
        <v>46123</v>
      </c>
      <c r="C346" s="1">
        <v>46124</v>
      </c>
      <c r="D346" s="1">
        <v>46129</v>
      </c>
      <c r="E346" t="s">
        <v>49</v>
      </c>
      <c r="F346" t="s">
        <v>50</v>
      </c>
      <c r="G346" t="s">
        <v>51</v>
      </c>
      <c r="H346">
        <v>1315</v>
      </c>
      <c r="I346" t="s">
        <v>60</v>
      </c>
      <c r="J346">
        <v>3</v>
      </c>
      <c r="K346">
        <v>14465</v>
      </c>
      <c r="L346">
        <v>10</v>
      </c>
      <c r="M346" t="s">
        <v>165</v>
      </c>
      <c r="N346">
        <v>12</v>
      </c>
      <c r="O346">
        <v>4.9000000000000004</v>
      </c>
      <c r="P346" t="s">
        <v>53</v>
      </c>
      <c r="Q346" t="s">
        <v>38</v>
      </c>
      <c r="R346" t="s">
        <v>54</v>
      </c>
      <c r="S346">
        <v>2</v>
      </c>
      <c r="T346">
        <v>5</v>
      </c>
      <c r="U346">
        <v>3</v>
      </c>
      <c r="V346" t="s">
        <v>46</v>
      </c>
      <c r="W346" t="s">
        <v>68</v>
      </c>
      <c r="X346" t="s">
        <v>76</v>
      </c>
      <c r="Y346" t="s">
        <v>38</v>
      </c>
      <c r="Z346">
        <v>4.5999999999999996</v>
      </c>
    </row>
    <row r="347" spans="1:26" x14ac:dyDescent="0.3">
      <c r="A347" t="s">
        <v>468</v>
      </c>
      <c r="B347" s="1">
        <v>46045</v>
      </c>
      <c r="C347" s="1">
        <v>46046</v>
      </c>
      <c r="D347" s="1">
        <v>46047</v>
      </c>
      <c r="E347" t="s">
        <v>111</v>
      </c>
      <c r="F347" t="s">
        <v>27</v>
      </c>
      <c r="G347" t="s">
        <v>112</v>
      </c>
      <c r="H347">
        <v>342</v>
      </c>
      <c r="I347" t="s">
        <v>87</v>
      </c>
      <c r="J347">
        <v>10</v>
      </c>
      <c r="K347">
        <v>4104</v>
      </c>
      <c r="L347">
        <v>8</v>
      </c>
      <c r="M347" t="s">
        <v>226</v>
      </c>
      <c r="N347">
        <v>8</v>
      </c>
      <c r="O347">
        <v>4.3</v>
      </c>
      <c r="P347" t="s">
        <v>32</v>
      </c>
      <c r="Q347" t="s">
        <v>38</v>
      </c>
      <c r="R347" t="s">
        <v>67</v>
      </c>
      <c r="S347">
        <v>1</v>
      </c>
      <c r="T347">
        <v>1</v>
      </c>
      <c r="U347">
        <v>0</v>
      </c>
      <c r="V347" t="s">
        <v>35</v>
      </c>
      <c r="W347" t="s">
        <v>55</v>
      </c>
      <c r="X347" t="s">
        <v>63</v>
      </c>
      <c r="Y347" t="s">
        <v>38</v>
      </c>
      <c r="Z347">
        <v>4.3</v>
      </c>
    </row>
    <row r="348" spans="1:26" x14ac:dyDescent="0.3">
      <c r="A348" t="s">
        <v>469</v>
      </c>
      <c r="B348" s="1">
        <v>46080</v>
      </c>
      <c r="C348" s="1">
        <v>46082</v>
      </c>
      <c r="D348" s="1">
        <v>46084</v>
      </c>
      <c r="E348" t="s">
        <v>57</v>
      </c>
      <c r="F348" t="s">
        <v>58</v>
      </c>
      <c r="G348" t="s">
        <v>59</v>
      </c>
      <c r="H348">
        <v>998</v>
      </c>
      <c r="I348" t="s">
        <v>43</v>
      </c>
      <c r="J348">
        <v>4</v>
      </c>
      <c r="K348">
        <v>6986</v>
      </c>
      <c r="L348">
        <v>10</v>
      </c>
      <c r="M348" t="s">
        <v>226</v>
      </c>
      <c r="N348">
        <v>5</v>
      </c>
      <c r="O348">
        <v>4.0999999999999996</v>
      </c>
      <c r="P348" t="s">
        <v>66</v>
      </c>
      <c r="Q348" t="s">
        <v>62</v>
      </c>
      <c r="R348" t="s">
        <v>54</v>
      </c>
      <c r="S348">
        <v>2</v>
      </c>
      <c r="T348">
        <v>2</v>
      </c>
      <c r="U348">
        <v>0</v>
      </c>
      <c r="V348" t="s">
        <v>35</v>
      </c>
      <c r="W348" t="s">
        <v>55</v>
      </c>
      <c r="X348" t="s">
        <v>63</v>
      </c>
      <c r="Y348" t="s">
        <v>33</v>
      </c>
      <c r="Z348">
        <v>5</v>
      </c>
    </row>
    <row r="349" spans="1:26" x14ac:dyDescent="0.3">
      <c r="A349" t="s">
        <v>470</v>
      </c>
      <c r="B349" s="1">
        <v>46074</v>
      </c>
      <c r="C349" s="1">
        <v>46074</v>
      </c>
      <c r="D349" s="1">
        <v>46075</v>
      </c>
      <c r="E349" t="s">
        <v>57</v>
      </c>
      <c r="F349" t="s">
        <v>58</v>
      </c>
      <c r="G349" t="s">
        <v>59</v>
      </c>
      <c r="H349">
        <v>327</v>
      </c>
      <c r="I349" t="s">
        <v>30</v>
      </c>
      <c r="J349">
        <v>9</v>
      </c>
      <c r="K349">
        <v>1962</v>
      </c>
      <c r="L349">
        <v>5</v>
      </c>
      <c r="M349" t="s">
        <v>245</v>
      </c>
      <c r="N349">
        <v>9</v>
      </c>
      <c r="O349">
        <v>4.5999999999999996</v>
      </c>
      <c r="P349" t="s">
        <v>66</v>
      </c>
      <c r="Q349" t="s">
        <v>38</v>
      </c>
      <c r="R349" t="s">
        <v>34</v>
      </c>
      <c r="S349">
        <v>1</v>
      </c>
      <c r="T349">
        <v>1</v>
      </c>
      <c r="U349">
        <v>0</v>
      </c>
      <c r="V349" t="s">
        <v>35</v>
      </c>
      <c r="W349" t="s">
        <v>68</v>
      </c>
      <c r="X349" t="s">
        <v>76</v>
      </c>
      <c r="Y349" t="s">
        <v>62</v>
      </c>
      <c r="Z349">
        <v>4.3</v>
      </c>
    </row>
    <row r="350" spans="1:26" x14ac:dyDescent="0.3">
      <c r="A350" t="s">
        <v>471</v>
      </c>
      <c r="B350" s="1">
        <v>46114</v>
      </c>
      <c r="C350" s="1">
        <v>46115</v>
      </c>
      <c r="D350" s="1">
        <v>46118</v>
      </c>
      <c r="E350" t="s">
        <v>111</v>
      </c>
      <c r="F350" t="s">
        <v>27</v>
      </c>
      <c r="G350" t="s">
        <v>112</v>
      </c>
      <c r="H350">
        <v>981</v>
      </c>
      <c r="I350" t="s">
        <v>43</v>
      </c>
      <c r="J350">
        <v>9</v>
      </c>
      <c r="K350">
        <v>6867</v>
      </c>
      <c r="L350">
        <v>10</v>
      </c>
      <c r="M350" t="s">
        <v>283</v>
      </c>
      <c r="N350">
        <v>8</v>
      </c>
      <c r="O350">
        <v>3.3</v>
      </c>
      <c r="P350" t="s">
        <v>53</v>
      </c>
      <c r="Q350" t="s">
        <v>62</v>
      </c>
      <c r="R350" t="s">
        <v>34</v>
      </c>
      <c r="S350">
        <v>2</v>
      </c>
      <c r="T350">
        <v>3</v>
      </c>
      <c r="U350">
        <v>1</v>
      </c>
      <c r="V350" t="s">
        <v>46</v>
      </c>
      <c r="W350" t="s">
        <v>55</v>
      </c>
      <c r="X350" t="s">
        <v>37</v>
      </c>
      <c r="Y350" t="s">
        <v>38</v>
      </c>
      <c r="Z350">
        <v>3</v>
      </c>
    </row>
    <row r="351" spans="1:26" x14ac:dyDescent="0.3">
      <c r="A351" t="s">
        <v>472</v>
      </c>
      <c r="B351" s="1">
        <v>46105</v>
      </c>
      <c r="C351" s="1">
        <v>46105</v>
      </c>
      <c r="D351" s="1">
        <v>46109</v>
      </c>
      <c r="E351" t="s">
        <v>82</v>
      </c>
      <c r="F351" t="s">
        <v>83</v>
      </c>
      <c r="G351" t="s">
        <v>84</v>
      </c>
      <c r="H351">
        <v>1677</v>
      </c>
      <c r="I351" t="s">
        <v>43</v>
      </c>
      <c r="J351">
        <v>7</v>
      </c>
      <c r="K351">
        <v>11739</v>
      </c>
      <c r="L351">
        <v>5</v>
      </c>
      <c r="M351" t="s">
        <v>147</v>
      </c>
      <c r="N351">
        <v>11</v>
      </c>
      <c r="O351">
        <v>4.5999999999999996</v>
      </c>
      <c r="P351" t="s">
        <v>53</v>
      </c>
      <c r="Q351" t="s">
        <v>33</v>
      </c>
      <c r="R351" t="s">
        <v>54</v>
      </c>
      <c r="S351">
        <v>3</v>
      </c>
      <c r="T351">
        <v>4</v>
      </c>
      <c r="U351">
        <v>1</v>
      </c>
      <c r="V351" t="s">
        <v>46</v>
      </c>
      <c r="W351" t="s">
        <v>68</v>
      </c>
      <c r="X351" t="s">
        <v>76</v>
      </c>
      <c r="Y351" t="s">
        <v>62</v>
      </c>
      <c r="Z351">
        <v>4.0999999999999996</v>
      </c>
    </row>
    <row r="352" spans="1:26" x14ac:dyDescent="0.3">
      <c r="A352" t="s">
        <v>473</v>
      </c>
      <c r="B352" s="1">
        <v>46080</v>
      </c>
      <c r="C352" s="1">
        <v>46081</v>
      </c>
      <c r="D352" s="1">
        <v>46086</v>
      </c>
      <c r="E352" t="s">
        <v>49</v>
      </c>
      <c r="F352" t="s">
        <v>50</v>
      </c>
      <c r="G352" t="s">
        <v>51</v>
      </c>
      <c r="H352">
        <v>662</v>
      </c>
      <c r="I352" t="s">
        <v>60</v>
      </c>
      <c r="J352">
        <v>7</v>
      </c>
      <c r="K352">
        <v>6620</v>
      </c>
      <c r="L352">
        <v>5</v>
      </c>
      <c r="M352" t="s">
        <v>105</v>
      </c>
      <c r="N352">
        <v>8</v>
      </c>
      <c r="O352">
        <v>4.7</v>
      </c>
      <c r="P352" t="s">
        <v>45</v>
      </c>
      <c r="Q352" t="s">
        <v>33</v>
      </c>
      <c r="R352" t="s">
        <v>54</v>
      </c>
      <c r="S352">
        <v>1</v>
      </c>
      <c r="T352">
        <v>5</v>
      </c>
      <c r="U352">
        <v>4</v>
      </c>
      <c r="V352" t="s">
        <v>46</v>
      </c>
      <c r="W352" t="s">
        <v>55</v>
      </c>
      <c r="X352" t="s">
        <v>47</v>
      </c>
      <c r="Y352" t="s">
        <v>38</v>
      </c>
      <c r="Z352">
        <v>5</v>
      </c>
    </row>
    <row r="353" spans="1:26" x14ac:dyDescent="0.3">
      <c r="A353" t="s">
        <v>474</v>
      </c>
      <c r="B353" s="1">
        <v>46095</v>
      </c>
      <c r="C353" s="1">
        <v>46096</v>
      </c>
      <c r="D353" s="1">
        <v>46099</v>
      </c>
      <c r="E353" t="s">
        <v>49</v>
      </c>
      <c r="F353" t="s">
        <v>50</v>
      </c>
      <c r="G353" t="s">
        <v>51</v>
      </c>
      <c r="H353">
        <v>431</v>
      </c>
      <c r="I353" t="s">
        <v>43</v>
      </c>
      <c r="J353">
        <v>2</v>
      </c>
      <c r="K353">
        <v>3017</v>
      </c>
      <c r="L353">
        <v>10</v>
      </c>
      <c r="M353" t="s">
        <v>78</v>
      </c>
      <c r="N353">
        <v>9</v>
      </c>
      <c r="O353">
        <v>5</v>
      </c>
      <c r="P353" t="s">
        <v>66</v>
      </c>
      <c r="Q353" t="s">
        <v>62</v>
      </c>
      <c r="R353" t="s">
        <v>54</v>
      </c>
      <c r="S353">
        <v>1</v>
      </c>
      <c r="T353">
        <v>3</v>
      </c>
      <c r="U353">
        <v>2</v>
      </c>
      <c r="V353" t="s">
        <v>46</v>
      </c>
      <c r="W353" t="s">
        <v>55</v>
      </c>
      <c r="X353" t="s">
        <v>63</v>
      </c>
      <c r="Y353" t="s">
        <v>38</v>
      </c>
      <c r="Z353">
        <v>3.9</v>
      </c>
    </row>
    <row r="354" spans="1:26" x14ac:dyDescent="0.3">
      <c r="A354" t="s">
        <v>475</v>
      </c>
      <c r="B354" s="1">
        <v>46117</v>
      </c>
      <c r="C354" s="1">
        <v>46119</v>
      </c>
      <c r="D354" s="1">
        <v>46124</v>
      </c>
      <c r="E354" t="s">
        <v>72</v>
      </c>
      <c r="F354" t="s">
        <v>73</v>
      </c>
      <c r="G354" t="s">
        <v>74</v>
      </c>
      <c r="H354">
        <v>1600</v>
      </c>
      <c r="I354" t="s">
        <v>30</v>
      </c>
      <c r="J354">
        <v>10</v>
      </c>
      <c r="K354">
        <v>9600</v>
      </c>
      <c r="L354">
        <v>7</v>
      </c>
      <c r="M354" t="s">
        <v>52</v>
      </c>
      <c r="N354">
        <v>13</v>
      </c>
      <c r="O354">
        <v>3</v>
      </c>
      <c r="P354" t="s">
        <v>53</v>
      </c>
      <c r="Q354" t="s">
        <v>33</v>
      </c>
      <c r="R354" t="s">
        <v>34</v>
      </c>
      <c r="S354">
        <v>3</v>
      </c>
      <c r="T354">
        <v>5</v>
      </c>
      <c r="U354">
        <v>2</v>
      </c>
      <c r="V354" t="s">
        <v>46</v>
      </c>
      <c r="W354" t="s">
        <v>68</v>
      </c>
      <c r="X354" t="s">
        <v>47</v>
      </c>
      <c r="Y354" t="s">
        <v>38</v>
      </c>
      <c r="Z354">
        <v>3.1</v>
      </c>
    </row>
    <row r="355" spans="1:26" x14ac:dyDescent="0.3">
      <c r="A355" t="s">
        <v>476</v>
      </c>
      <c r="B355" s="1">
        <v>46141</v>
      </c>
      <c r="C355" s="1">
        <v>46143</v>
      </c>
      <c r="D355" s="1">
        <v>46149</v>
      </c>
      <c r="E355" t="s">
        <v>57</v>
      </c>
      <c r="F355" t="s">
        <v>58</v>
      </c>
      <c r="G355" t="s">
        <v>59</v>
      </c>
      <c r="H355">
        <v>1688</v>
      </c>
      <c r="I355" t="s">
        <v>30</v>
      </c>
      <c r="J355">
        <v>1</v>
      </c>
      <c r="K355">
        <v>18568</v>
      </c>
      <c r="L355">
        <v>8</v>
      </c>
      <c r="M355" t="s">
        <v>145</v>
      </c>
      <c r="N355">
        <v>3</v>
      </c>
      <c r="O355">
        <v>4.0999999999999996</v>
      </c>
      <c r="P355" t="s">
        <v>66</v>
      </c>
      <c r="Q355" t="s">
        <v>33</v>
      </c>
      <c r="R355" t="s">
        <v>54</v>
      </c>
      <c r="S355">
        <v>3</v>
      </c>
      <c r="T355">
        <v>6</v>
      </c>
      <c r="U355">
        <v>3</v>
      </c>
      <c r="V355" t="s">
        <v>46</v>
      </c>
      <c r="W355" t="s">
        <v>36</v>
      </c>
      <c r="X355" t="s">
        <v>37</v>
      </c>
      <c r="Y355" t="s">
        <v>33</v>
      </c>
      <c r="Z355">
        <v>3.2</v>
      </c>
    </row>
    <row r="356" spans="1:26" x14ac:dyDescent="0.3">
      <c r="A356" t="s">
        <v>477</v>
      </c>
      <c r="B356" s="1">
        <v>46123</v>
      </c>
      <c r="C356" s="1">
        <v>46124</v>
      </c>
      <c r="D356" s="1">
        <v>46128</v>
      </c>
      <c r="E356" t="s">
        <v>57</v>
      </c>
      <c r="F356" t="s">
        <v>58</v>
      </c>
      <c r="G356" t="s">
        <v>59</v>
      </c>
      <c r="H356">
        <v>471</v>
      </c>
      <c r="I356" t="s">
        <v>30</v>
      </c>
      <c r="J356">
        <v>5</v>
      </c>
      <c r="K356">
        <v>5652</v>
      </c>
      <c r="L356">
        <v>7</v>
      </c>
      <c r="M356" t="s">
        <v>158</v>
      </c>
      <c r="N356">
        <v>12</v>
      </c>
      <c r="O356">
        <v>3.2</v>
      </c>
      <c r="P356" t="s">
        <v>45</v>
      </c>
      <c r="Q356" t="s">
        <v>33</v>
      </c>
      <c r="R356" t="s">
        <v>54</v>
      </c>
      <c r="S356">
        <v>1</v>
      </c>
      <c r="T356">
        <v>4</v>
      </c>
      <c r="U356">
        <v>3</v>
      </c>
      <c r="V356" t="s">
        <v>46</v>
      </c>
      <c r="W356" t="s">
        <v>68</v>
      </c>
      <c r="X356" t="s">
        <v>37</v>
      </c>
      <c r="Y356" t="s">
        <v>62</v>
      </c>
      <c r="Z356">
        <v>4.5999999999999996</v>
      </c>
    </row>
    <row r="357" spans="1:26" x14ac:dyDescent="0.3">
      <c r="A357" t="s">
        <v>478</v>
      </c>
      <c r="B357" s="1">
        <v>46053</v>
      </c>
      <c r="C357" s="1">
        <v>46054</v>
      </c>
      <c r="D357" s="1">
        <v>46057</v>
      </c>
      <c r="E357" t="s">
        <v>82</v>
      </c>
      <c r="F357" t="s">
        <v>83</v>
      </c>
      <c r="G357" t="s">
        <v>84</v>
      </c>
      <c r="H357">
        <v>1280</v>
      </c>
      <c r="I357" t="s">
        <v>87</v>
      </c>
      <c r="J357">
        <v>6</v>
      </c>
      <c r="K357">
        <v>7680</v>
      </c>
      <c r="L357">
        <v>6</v>
      </c>
      <c r="M357" t="s">
        <v>269</v>
      </c>
      <c r="N357">
        <v>15</v>
      </c>
      <c r="O357">
        <v>4.5999999999999996</v>
      </c>
      <c r="P357" t="s">
        <v>53</v>
      </c>
      <c r="Q357" t="s">
        <v>62</v>
      </c>
      <c r="R357" t="s">
        <v>34</v>
      </c>
      <c r="S357">
        <v>2</v>
      </c>
      <c r="T357">
        <v>3</v>
      </c>
      <c r="U357">
        <v>1</v>
      </c>
      <c r="V357" t="s">
        <v>46</v>
      </c>
      <c r="W357" t="s">
        <v>55</v>
      </c>
      <c r="X357" t="s">
        <v>37</v>
      </c>
      <c r="Y357" t="s">
        <v>38</v>
      </c>
      <c r="Z357">
        <v>4.2</v>
      </c>
    </row>
    <row r="358" spans="1:26" x14ac:dyDescent="0.3">
      <c r="A358" t="s">
        <v>479</v>
      </c>
      <c r="B358" s="1">
        <v>46130</v>
      </c>
      <c r="C358" s="1">
        <v>46131</v>
      </c>
      <c r="D358" s="1">
        <v>46137</v>
      </c>
      <c r="E358" t="s">
        <v>27</v>
      </c>
      <c r="F358" t="s">
        <v>28</v>
      </c>
      <c r="G358" t="s">
        <v>29</v>
      </c>
      <c r="H358">
        <v>1515</v>
      </c>
      <c r="I358" t="s">
        <v>30</v>
      </c>
      <c r="J358">
        <v>2</v>
      </c>
      <c r="K358">
        <v>9090</v>
      </c>
      <c r="L358">
        <v>6</v>
      </c>
      <c r="M358" t="s">
        <v>61</v>
      </c>
      <c r="N358">
        <v>7</v>
      </c>
      <c r="O358">
        <v>4</v>
      </c>
      <c r="P358" t="s">
        <v>53</v>
      </c>
      <c r="Q358" t="s">
        <v>33</v>
      </c>
      <c r="R358" t="s">
        <v>54</v>
      </c>
      <c r="S358">
        <v>3</v>
      </c>
      <c r="T358">
        <v>6</v>
      </c>
      <c r="U358">
        <v>3</v>
      </c>
      <c r="V358" t="s">
        <v>46</v>
      </c>
      <c r="W358" t="s">
        <v>68</v>
      </c>
      <c r="X358" t="s">
        <v>47</v>
      </c>
      <c r="Y358" t="s">
        <v>38</v>
      </c>
      <c r="Z358">
        <v>4.0999999999999996</v>
      </c>
    </row>
    <row r="359" spans="1:26" x14ac:dyDescent="0.3">
      <c r="A359" t="s">
        <v>480</v>
      </c>
      <c r="B359" s="1">
        <v>46078</v>
      </c>
      <c r="C359" s="1">
        <v>46078</v>
      </c>
      <c r="D359" s="1">
        <v>46082</v>
      </c>
      <c r="E359" t="s">
        <v>57</v>
      </c>
      <c r="F359" t="s">
        <v>58</v>
      </c>
      <c r="G359" t="s">
        <v>59</v>
      </c>
      <c r="H359">
        <v>1119</v>
      </c>
      <c r="I359" t="s">
        <v>43</v>
      </c>
      <c r="J359">
        <v>6</v>
      </c>
      <c r="K359">
        <v>11190</v>
      </c>
      <c r="L359">
        <v>10</v>
      </c>
      <c r="M359" t="s">
        <v>172</v>
      </c>
      <c r="N359">
        <v>2</v>
      </c>
      <c r="O359">
        <v>4.8</v>
      </c>
      <c r="P359" t="s">
        <v>66</v>
      </c>
      <c r="Q359" t="s">
        <v>62</v>
      </c>
      <c r="R359" t="s">
        <v>54</v>
      </c>
      <c r="S359">
        <v>2</v>
      </c>
      <c r="T359">
        <v>4</v>
      </c>
      <c r="U359">
        <v>2</v>
      </c>
      <c r="V359" t="s">
        <v>46</v>
      </c>
      <c r="W359" t="s">
        <v>68</v>
      </c>
      <c r="X359" t="s">
        <v>47</v>
      </c>
      <c r="Y359" t="s">
        <v>62</v>
      </c>
      <c r="Z359">
        <v>4.5999999999999996</v>
      </c>
    </row>
    <row r="360" spans="1:26" x14ac:dyDescent="0.3">
      <c r="A360" t="s">
        <v>481</v>
      </c>
      <c r="B360" s="1">
        <v>46055</v>
      </c>
      <c r="C360" s="1">
        <v>46057</v>
      </c>
      <c r="D360" s="1">
        <v>46059</v>
      </c>
      <c r="E360" t="s">
        <v>111</v>
      </c>
      <c r="F360" t="s">
        <v>27</v>
      </c>
      <c r="G360" t="s">
        <v>112</v>
      </c>
      <c r="H360">
        <v>1144</v>
      </c>
      <c r="I360" t="s">
        <v>60</v>
      </c>
      <c r="J360">
        <v>10</v>
      </c>
      <c r="K360">
        <v>13728</v>
      </c>
      <c r="L360">
        <v>6</v>
      </c>
      <c r="M360" t="s">
        <v>85</v>
      </c>
      <c r="N360">
        <v>6</v>
      </c>
      <c r="O360">
        <v>4.4000000000000004</v>
      </c>
      <c r="P360" t="s">
        <v>45</v>
      </c>
      <c r="Q360" t="s">
        <v>62</v>
      </c>
      <c r="R360" t="s">
        <v>54</v>
      </c>
      <c r="S360">
        <v>2</v>
      </c>
      <c r="T360">
        <v>2</v>
      </c>
      <c r="U360">
        <v>0</v>
      </c>
      <c r="V360" t="s">
        <v>35</v>
      </c>
      <c r="W360" t="s">
        <v>36</v>
      </c>
      <c r="X360" t="s">
        <v>63</v>
      </c>
      <c r="Y360" t="s">
        <v>62</v>
      </c>
      <c r="Z360">
        <v>3.2</v>
      </c>
    </row>
    <row r="361" spans="1:26" x14ac:dyDescent="0.3">
      <c r="A361" t="s">
        <v>482</v>
      </c>
      <c r="B361" s="1">
        <v>46036</v>
      </c>
      <c r="C361" s="1">
        <v>46038</v>
      </c>
      <c r="D361" s="1">
        <v>46040</v>
      </c>
      <c r="E361" t="s">
        <v>92</v>
      </c>
      <c r="F361" t="s">
        <v>93</v>
      </c>
      <c r="G361" t="s">
        <v>94</v>
      </c>
      <c r="H361">
        <v>919</v>
      </c>
      <c r="I361" t="s">
        <v>60</v>
      </c>
      <c r="J361">
        <v>5</v>
      </c>
      <c r="K361">
        <v>7352</v>
      </c>
      <c r="L361">
        <v>6</v>
      </c>
      <c r="M361" t="s">
        <v>172</v>
      </c>
      <c r="N361">
        <v>1</v>
      </c>
      <c r="O361">
        <v>4.2</v>
      </c>
      <c r="P361" t="s">
        <v>32</v>
      </c>
      <c r="Q361" t="s">
        <v>33</v>
      </c>
      <c r="R361" t="s">
        <v>54</v>
      </c>
      <c r="S361">
        <v>2</v>
      </c>
      <c r="T361">
        <v>2</v>
      </c>
      <c r="U361">
        <v>0</v>
      </c>
      <c r="V361" t="s">
        <v>35</v>
      </c>
      <c r="W361" t="s">
        <v>55</v>
      </c>
      <c r="X361" t="s">
        <v>63</v>
      </c>
      <c r="Y361" t="s">
        <v>38</v>
      </c>
      <c r="Z361">
        <v>4.7</v>
      </c>
    </row>
    <row r="362" spans="1:26" x14ac:dyDescent="0.3">
      <c r="A362" t="s">
        <v>483</v>
      </c>
      <c r="B362" s="1">
        <v>46039</v>
      </c>
      <c r="C362" s="1">
        <v>46040</v>
      </c>
      <c r="D362" s="1">
        <v>46043</v>
      </c>
      <c r="E362" t="s">
        <v>82</v>
      </c>
      <c r="F362" t="s">
        <v>83</v>
      </c>
      <c r="G362" t="s">
        <v>84</v>
      </c>
      <c r="H362">
        <v>427</v>
      </c>
      <c r="I362" t="s">
        <v>60</v>
      </c>
      <c r="J362">
        <v>5</v>
      </c>
      <c r="K362">
        <v>3416</v>
      </c>
      <c r="L362">
        <v>8</v>
      </c>
      <c r="M362" t="s">
        <v>103</v>
      </c>
      <c r="N362">
        <v>15</v>
      </c>
      <c r="O362">
        <v>3.2</v>
      </c>
      <c r="P362" t="s">
        <v>53</v>
      </c>
      <c r="Q362" t="s">
        <v>62</v>
      </c>
      <c r="R362" t="s">
        <v>34</v>
      </c>
      <c r="S362">
        <v>1</v>
      </c>
      <c r="T362">
        <v>3</v>
      </c>
      <c r="U362">
        <v>2</v>
      </c>
      <c r="V362" t="s">
        <v>46</v>
      </c>
      <c r="W362" t="s">
        <v>68</v>
      </c>
      <c r="X362" t="s">
        <v>37</v>
      </c>
      <c r="Y362" t="s">
        <v>38</v>
      </c>
      <c r="Z362">
        <v>3.6</v>
      </c>
    </row>
    <row r="363" spans="1:26" x14ac:dyDescent="0.3">
      <c r="A363" t="s">
        <v>484</v>
      </c>
      <c r="B363" s="1">
        <v>46030</v>
      </c>
      <c r="C363" s="1">
        <v>46031</v>
      </c>
      <c r="D363" s="1">
        <v>46035</v>
      </c>
      <c r="E363" t="s">
        <v>111</v>
      </c>
      <c r="F363" t="s">
        <v>27</v>
      </c>
      <c r="G363" t="s">
        <v>112</v>
      </c>
      <c r="H363">
        <v>881</v>
      </c>
      <c r="I363" t="s">
        <v>87</v>
      </c>
      <c r="J363">
        <v>5</v>
      </c>
      <c r="K363">
        <v>10572</v>
      </c>
      <c r="L363">
        <v>7</v>
      </c>
      <c r="M363" t="s">
        <v>283</v>
      </c>
      <c r="N363">
        <v>8</v>
      </c>
      <c r="O363">
        <v>3.1</v>
      </c>
      <c r="P363" t="s">
        <v>45</v>
      </c>
      <c r="Q363" t="s">
        <v>33</v>
      </c>
      <c r="R363" t="s">
        <v>34</v>
      </c>
      <c r="S363">
        <v>1</v>
      </c>
      <c r="T363">
        <v>4</v>
      </c>
      <c r="U363">
        <v>3</v>
      </c>
      <c r="V363" t="s">
        <v>46</v>
      </c>
      <c r="W363" t="s">
        <v>36</v>
      </c>
      <c r="X363" t="s">
        <v>37</v>
      </c>
      <c r="Y363" t="s">
        <v>33</v>
      </c>
      <c r="Z363">
        <v>4.5</v>
      </c>
    </row>
    <row r="364" spans="1:26" x14ac:dyDescent="0.3">
      <c r="A364" t="s">
        <v>485</v>
      </c>
      <c r="B364" s="1">
        <v>46050</v>
      </c>
      <c r="C364" s="1">
        <v>46052</v>
      </c>
      <c r="D364" s="1">
        <v>46054</v>
      </c>
      <c r="E364" t="s">
        <v>72</v>
      </c>
      <c r="F364" t="s">
        <v>73</v>
      </c>
      <c r="G364" t="s">
        <v>74</v>
      </c>
      <c r="H364">
        <v>1104</v>
      </c>
      <c r="I364" t="s">
        <v>30</v>
      </c>
      <c r="J364">
        <v>2</v>
      </c>
      <c r="K364">
        <v>6624</v>
      </c>
      <c r="L364">
        <v>5</v>
      </c>
      <c r="M364" t="s">
        <v>165</v>
      </c>
      <c r="N364">
        <v>10</v>
      </c>
      <c r="O364">
        <v>4.5</v>
      </c>
      <c r="P364" t="s">
        <v>53</v>
      </c>
      <c r="Q364" t="s">
        <v>38</v>
      </c>
      <c r="R364" t="s">
        <v>34</v>
      </c>
      <c r="S364">
        <v>2</v>
      </c>
      <c r="T364">
        <v>2</v>
      </c>
      <c r="U364">
        <v>0</v>
      </c>
      <c r="V364" t="s">
        <v>35</v>
      </c>
      <c r="W364" t="s">
        <v>36</v>
      </c>
      <c r="X364" t="s">
        <v>95</v>
      </c>
      <c r="Y364" t="s">
        <v>62</v>
      </c>
      <c r="Z364">
        <v>3.3</v>
      </c>
    </row>
    <row r="365" spans="1:26" x14ac:dyDescent="0.3">
      <c r="A365" t="s">
        <v>486</v>
      </c>
      <c r="B365" s="1">
        <v>46065</v>
      </c>
      <c r="C365" s="1">
        <v>46066</v>
      </c>
      <c r="D365" s="1">
        <v>46071</v>
      </c>
      <c r="E365" t="s">
        <v>27</v>
      </c>
      <c r="F365" t="s">
        <v>28</v>
      </c>
      <c r="G365" t="s">
        <v>29</v>
      </c>
      <c r="H365">
        <v>1255</v>
      </c>
      <c r="I365" t="s">
        <v>43</v>
      </c>
      <c r="J365">
        <v>8</v>
      </c>
      <c r="K365">
        <v>11295</v>
      </c>
      <c r="L365">
        <v>8</v>
      </c>
      <c r="M365" t="s">
        <v>78</v>
      </c>
      <c r="N365">
        <v>13</v>
      </c>
      <c r="O365">
        <v>4.5999999999999996</v>
      </c>
      <c r="P365" t="s">
        <v>32</v>
      </c>
      <c r="Q365" t="s">
        <v>33</v>
      </c>
      <c r="R365" t="s">
        <v>67</v>
      </c>
      <c r="S365">
        <v>2</v>
      </c>
      <c r="T365">
        <v>5</v>
      </c>
      <c r="U365">
        <v>3</v>
      </c>
      <c r="V365" t="s">
        <v>46</v>
      </c>
      <c r="W365" t="s">
        <v>55</v>
      </c>
      <c r="X365" t="s">
        <v>95</v>
      </c>
      <c r="Y365" t="s">
        <v>38</v>
      </c>
      <c r="Z365">
        <v>4.0999999999999996</v>
      </c>
    </row>
    <row r="366" spans="1:26" x14ac:dyDescent="0.3">
      <c r="A366" t="s">
        <v>487</v>
      </c>
      <c r="B366" s="1">
        <v>46142</v>
      </c>
      <c r="C366" s="1">
        <v>46143</v>
      </c>
      <c r="D366" s="1">
        <v>46148</v>
      </c>
      <c r="E366" t="s">
        <v>49</v>
      </c>
      <c r="F366" t="s">
        <v>50</v>
      </c>
      <c r="G366" t="s">
        <v>51</v>
      </c>
      <c r="H366">
        <v>1596</v>
      </c>
      <c r="I366" t="s">
        <v>30</v>
      </c>
      <c r="J366">
        <v>7</v>
      </c>
      <c r="K366">
        <v>9576</v>
      </c>
      <c r="L366">
        <v>10</v>
      </c>
      <c r="M366" t="s">
        <v>97</v>
      </c>
      <c r="N366">
        <v>2</v>
      </c>
      <c r="O366">
        <v>3.7</v>
      </c>
      <c r="P366" t="s">
        <v>66</v>
      </c>
      <c r="Q366" t="s">
        <v>38</v>
      </c>
      <c r="R366" t="s">
        <v>34</v>
      </c>
      <c r="S366">
        <v>3</v>
      </c>
      <c r="T366">
        <v>5</v>
      </c>
      <c r="U366">
        <v>2</v>
      </c>
      <c r="V366" t="s">
        <v>46</v>
      </c>
      <c r="W366" t="s">
        <v>36</v>
      </c>
      <c r="X366" t="s">
        <v>37</v>
      </c>
      <c r="Y366" t="s">
        <v>33</v>
      </c>
      <c r="Z366">
        <v>3.1</v>
      </c>
    </row>
    <row r="367" spans="1:26" x14ac:dyDescent="0.3">
      <c r="A367" t="s">
        <v>488</v>
      </c>
      <c r="B367" s="1">
        <v>46072</v>
      </c>
      <c r="C367" s="1">
        <v>46074</v>
      </c>
      <c r="D367" s="1">
        <v>46075</v>
      </c>
      <c r="E367" t="s">
        <v>40</v>
      </c>
      <c r="F367" t="s">
        <v>41</v>
      </c>
      <c r="G367" t="s">
        <v>42</v>
      </c>
      <c r="H367">
        <v>812</v>
      </c>
      <c r="I367" t="s">
        <v>43</v>
      </c>
      <c r="J367">
        <v>2</v>
      </c>
      <c r="K367">
        <v>8932</v>
      </c>
      <c r="L367">
        <v>10</v>
      </c>
      <c r="M367" t="s">
        <v>178</v>
      </c>
      <c r="N367">
        <v>8</v>
      </c>
      <c r="O367">
        <v>3.2</v>
      </c>
      <c r="P367" t="s">
        <v>53</v>
      </c>
      <c r="Q367" t="s">
        <v>33</v>
      </c>
      <c r="R367" t="s">
        <v>67</v>
      </c>
      <c r="S367">
        <v>1</v>
      </c>
      <c r="T367">
        <v>1</v>
      </c>
      <c r="U367">
        <v>0</v>
      </c>
      <c r="V367" t="s">
        <v>35</v>
      </c>
      <c r="W367" t="s">
        <v>36</v>
      </c>
      <c r="X367" t="s">
        <v>76</v>
      </c>
      <c r="Y367" t="s">
        <v>38</v>
      </c>
      <c r="Z367">
        <v>4</v>
      </c>
    </row>
    <row r="368" spans="1:26" x14ac:dyDescent="0.3">
      <c r="A368" t="s">
        <v>489</v>
      </c>
      <c r="B368" s="1">
        <v>46031</v>
      </c>
      <c r="C368" s="1">
        <v>46033</v>
      </c>
      <c r="D368" s="1">
        <v>46035</v>
      </c>
      <c r="E368" t="s">
        <v>57</v>
      </c>
      <c r="F368" t="s">
        <v>58</v>
      </c>
      <c r="G368" t="s">
        <v>59</v>
      </c>
      <c r="H368">
        <v>1223</v>
      </c>
      <c r="I368" t="s">
        <v>43</v>
      </c>
      <c r="J368">
        <v>1</v>
      </c>
      <c r="K368">
        <v>7338</v>
      </c>
      <c r="L368">
        <v>7</v>
      </c>
      <c r="M368" t="s">
        <v>208</v>
      </c>
      <c r="N368">
        <v>6</v>
      </c>
      <c r="O368">
        <v>4.5999999999999996</v>
      </c>
      <c r="P368" t="s">
        <v>32</v>
      </c>
      <c r="Q368" t="s">
        <v>62</v>
      </c>
      <c r="R368" t="s">
        <v>67</v>
      </c>
      <c r="S368">
        <v>2</v>
      </c>
      <c r="T368">
        <v>2</v>
      </c>
      <c r="U368">
        <v>0</v>
      </c>
      <c r="V368" t="s">
        <v>35</v>
      </c>
      <c r="W368" t="s">
        <v>55</v>
      </c>
      <c r="X368" t="s">
        <v>76</v>
      </c>
      <c r="Y368" t="s">
        <v>62</v>
      </c>
      <c r="Z368">
        <v>4.9000000000000004</v>
      </c>
    </row>
    <row r="369" spans="1:26" x14ac:dyDescent="0.3">
      <c r="A369" t="s">
        <v>490</v>
      </c>
      <c r="B369" s="1">
        <v>46134</v>
      </c>
      <c r="C369" s="1">
        <v>46136</v>
      </c>
      <c r="D369" s="1">
        <v>46140</v>
      </c>
      <c r="E369" t="s">
        <v>82</v>
      </c>
      <c r="F369" t="s">
        <v>83</v>
      </c>
      <c r="G369" t="s">
        <v>84</v>
      </c>
      <c r="H369">
        <v>1717</v>
      </c>
      <c r="I369" t="s">
        <v>60</v>
      </c>
      <c r="J369">
        <v>2</v>
      </c>
      <c r="K369">
        <v>10302</v>
      </c>
      <c r="L369">
        <v>10</v>
      </c>
      <c r="M369" t="s">
        <v>70</v>
      </c>
      <c r="N369">
        <v>8</v>
      </c>
      <c r="O369">
        <v>4.3</v>
      </c>
      <c r="P369" t="s">
        <v>53</v>
      </c>
      <c r="Q369" t="s">
        <v>33</v>
      </c>
      <c r="R369" t="s">
        <v>67</v>
      </c>
      <c r="S369">
        <v>3</v>
      </c>
      <c r="T369">
        <v>4</v>
      </c>
      <c r="U369">
        <v>1</v>
      </c>
      <c r="V369" t="s">
        <v>46</v>
      </c>
      <c r="W369" t="s">
        <v>36</v>
      </c>
      <c r="X369" t="s">
        <v>37</v>
      </c>
      <c r="Y369" t="s">
        <v>33</v>
      </c>
      <c r="Z369">
        <v>3.1</v>
      </c>
    </row>
    <row r="370" spans="1:26" x14ac:dyDescent="0.3">
      <c r="A370" t="s">
        <v>491</v>
      </c>
      <c r="B370" s="1">
        <v>46062</v>
      </c>
      <c r="C370" s="1">
        <v>46062</v>
      </c>
      <c r="D370" s="1">
        <v>46067</v>
      </c>
      <c r="E370" t="s">
        <v>92</v>
      </c>
      <c r="F370" t="s">
        <v>93</v>
      </c>
      <c r="G370" t="s">
        <v>94</v>
      </c>
      <c r="H370">
        <v>1451</v>
      </c>
      <c r="I370" t="s">
        <v>60</v>
      </c>
      <c r="J370">
        <v>10</v>
      </c>
      <c r="K370">
        <v>8706</v>
      </c>
      <c r="L370">
        <v>5</v>
      </c>
      <c r="M370" t="s">
        <v>118</v>
      </c>
      <c r="N370">
        <v>8</v>
      </c>
      <c r="O370">
        <v>4.2</v>
      </c>
      <c r="P370" t="s">
        <v>45</v>
      </c>
      <c r="Q370" t="s">
        <v>38</v>
      </c>
      <c r="R370" t="s">
        <v>67</v>
      </c>
      <c r="S370">
        <v>3</v>
      </c>
      <c r="T370">
        <v>5</v>
      </c>
      <c r="U370">
        <v>2</v>
      </c>
      <c r="V370" t="s">
        <v>46</v>
      </c>
      <c r="W370" t="s">
        <v>55</v>
      </c>
      <c r="X370" t="s">
        <v>95</v>
      </c>
      <c r="Y370" t="s">
        <v>62</v>
      </c>
      <c r="Z370">
        <v>3.2</v>
      </c>
    </row>
    <row r="371" spans="1:26" x14ac:dyDescent="0.3">
      <c r="A371" t="s">
        <v>492</v>
      </c>
      <c r="B371" s="1">
        <v>46110</v>
      </c>
      <c r="C371" s="1">
        <v>46112</v>
      </c>
      <c r="D371" s="1">
        <v>46115</v>
      </c>
      <c r="E371" t="s">
        <v>82</v>
      </c>
      <c r="F371" t="s">
        <v>83</v>
      </c>
      <c r="G371" t="s">
        <v>84</v>
      </c>
      <c r="H371">
        <v>858</v>
      </c>
      <c r="I371" t="s">
        <v>60</v>
      </c>
      <c r="J371">
        <v>1</v>
      </c>
      <c r="K371">
        <v>8580</v>
      </c>
      <c r="L371">
        <v>6</v>
      </c>
      <c r="M371" t="s">
        <v>143</v>
      </c>
      <c r="N371">
        <v>2</v>
      </c>
      <c r="O371">
        <v>3.2</v>
      </c>
      <c r="P371" t="s">
        <v>45</v>
      </c>
      <c r="Q371" t="s">
        <v>62</v>
      </c>
      <c r="R371" t="s">
        <v>67</v>
      </c>
      <c r="S371">
        <v>1</v>
      </c>
      <c r="T371">
        <v>3</v>
      </c>
      <c r="U371">
        <v>2</v>
      </c>
      <c r="V371" t="s">
        <v>46</v>
      </c>
      <c r="W371" t="s">
        <v>55</v>
      </c>
      <c r="X371" t="s">
        <v>37</v>
      </c>
      <c r="Y371" t="s">
        <v>62</v>
      </c>
      <c r="Z371">
        <v>3.5</v>
      </c>
    </row>
    <row r="372" spans="1:26" x14ac:dyDescent="0.3">
      <c r="A372" t="s">
        <v>493</v>
      </c>
      <c r="B372" s="1">
        <v>46097</v>
      </c>
      <c r="C372" s="1">
        <v>46097</v>
      </c>
      <c r="D372" s="1">
        <v>46101</v>
      </c>
      <c r="E372" t="s">
        <v>82</v>
      </c>
      <c r="F372" t="s">
        <v>83</v>
      </c>
      <c r="G372" t="s">
        <v>84</v>
      </c>
      <c r="H372">
        <v>404</v>
      </c>
      <c r="I372" t="s">
        <v>43</v>
      </c>
      <c r="J372">
        <v>3</v>
      </c>
      <c r="K372">
        <v>2424</v>
      </c>
      <c r="L372">
        <v>8</v>
      </c>
      <c r="M372" t="s">
        <v>109</v>
      </c>
      <c r="N372">
        <v>1</v>
      </c>
      <c r="O372">
        <v>3</v>
      </c>
      <c r="P372" t="s">
        <v>32</v>
      </c>
      <c r="Q372" t="s">
        <v>33</v>
      </c>
      <c r="R372" t="s">
        <v>54</v>
      </c>
      <c r="S372">
        <v>1</v>
      </c>
      <c r="T372">
        <v>4</v>
      </c>
      <c r="U372">
        <v>3</v>
      </c>
      <c r="V372" t="s">
        <v>46</v>
      </c>
      <c r="W372" t="s">
        <v>55</v>
      </c>
      <c r="X372" t="s">
        <v>95</v>
      </c>
      <c r="Y372" t="s">
        <v>33</v>
      </c>
      <c r="Z372">
        <v>3.3</v>
      </c>
    </row>
    <row r="373" spans="1:26" x14ac:dyDescent="0.3">
      <c r="A373" t="s">
        <v>494</v>
      </c>
      <c r="B373" s="1">
        <v>46041</v>
      </c>
      <c r="C373" s="1">
        <v>46043</v>
      </c>
      <c r="D373" s="1">
        <v>46047</v>
      </c>
      <c r="E373" t="s">
        <v>57</v>
      </c>
      <c r="F373" t="s">
        <v>58</v>
      </c>
      <c r="G373" t="s">
        <v>59</v>
      </c>
      <c r="H373">
        <v>1271</v>
      </c>
      <c r="I373" t="s">
        <v>43</v>
      </c>
      <c r="J373">
        <v>7</v>
      </c>
      <c r="K373">
        <v>8897</v>
      </c>
      <c r="L373">
        <v>6</v>
      </c>
      <c r="M373" t="s">
        <v>139</v>
      </c>
      <c r="N373">
        <v>12</v>
      </c>
      <c r="O373">
        <v>3.1</v>
      </c>
      <c r="P373" t="s">
        <v>45</v>
      </c>
      <c r="Q373" t="s">
        <v>33</v>
      </c>
      <c r="R373" t="s">
        <v>34</v>
      </c>
      <c r="S373">
        <v>2</v>
      </c>
      <c r="T373">
        <v>4</v>
      </c>
      <c r="U373">
        <v>2</v>
      </c>
      <c r="V373" t="s">
        <v>46</v>
      </c>
      <c r="W373" t="s">
        <v>68</v>
      </c>
      <c r="X373" t="s">
        <v>95</v>
      </c>
      <c r="Y373" t="s">
        <v>38</v>
      </c>
      <c r="Z373">
        <v>4.0999999999999996</v>
      </c>
    </row>
    <row r="374" spans="1:26" x14ac:dyDescent="0.3">
      <c r="A374" t="s">
        <v>495</v>
      </c>
      <c r="B374" s="1">
        <v>46047</v>
      </c>
      <c r="C374" s="1">
        <v>46047</v>
      </c>
      <c r="D374" s="1">
        <v>46050</v>
      </c>
      <c r="E374" t="s">
        <v>72</v>
      </c>
      <c r="F374" t="s">
        <v>73</v>
      </c>
      <c r="G374" t="s">
        <v>74</v>
      </c>
      <c r="H374">
        <v>1467</v>
      </c>
      <c r="I374" t="s">
        <v>30</v>
      </c>
      <c r="J374">
        <v>9</v>
      </c>
      <c r="K374">
        <v>14670</v>
      </c>
      <c r="L374">
        <v>6</v>
      </c>
      <c r="M374" t="s">
        <v>61</v>
      </c>
      <c r="N374">
        <v>13</v>
      </c>
      <c r="O374">
        <v>4.3</v>
      </c>
      <c r="P374" t="s">
        <v>45</v>
      </c>
      <c r="Q374" t="s">
        <v>62</v>
      </c>
      <c r="R374" t="s">
        <v>67</v>
      </c>
      <c r="S374">
        <v>3</v>
      </c>
      <c r="T374">
        <v>3</v>
      </c>
      <c r="U374">
        <v>0</v>
      </c>
      <c r="V374" t="s">
        <v>35</v>
      </c>
      <c r="W374" t="s">
        <v>36</v>
      </c>
      <c r="X374" t="s">
        <v>95</v>
      </c>
      <c r="Y374" t="s">
        <v>62</v>
      </c>
      <c r="Z374">
        <v>3.4</v>
      </c>
    </row>
    <row r="375" spans="1:26" x14ac:dyDescent="0.3">
      <c r="A375" t="s">
        <v>496</v>
      </c>
      <c r="B375" s="1">
        <v>46108</v>
      </c>
      <c r="C375" s="1">
        <v>46108</v>
      </c>
      <c r="D375" s="1">
        <v>46111</v>
      </c>
      <c r="E375" t="s">
        <v>27</v>
      </c>
      <c r="F375" t="s">
        <v>28</v>
      </c>
      <c r="G375" t="s">
        <v>29</v>
      </c>
      <c r="H375">
        <v>1520</v>
      </c>
      <c r="I375" t="s">
        <v>30</v>
      </c>
      <c r="J375">
        <v>5</v>
      </c>
      <c r="K375">
        <v>10640</v>
      </c>
      <c r="L375">
        <v>8</v>
      </c>
      <c r="M375" t="s">
        <v>243</v>
      </c>
      <c r="N375">
        <v>6</v>
      </c>
      <c r="O375">
        <v>4.2</v>
      </c>
      <c r="P375" t="s">
        <v>53</v>
      </c>
      <c r="Q375" t="s">
        <v>38</v>
      </c>
      <c r="R375" t="s">
        <v>67</v>
      </c>
      <c r="S375">
        <v>3</v>
      </c>
      <c r="T375">
        <v>3</v>
      </c>
      <c r="U375">
        <v>0</v>
      </c>
      <c r="V375" t="s">
        <v>35</v>
      </c>
      <c r="W375" t="s">
        <v>55</v>
      </c>
      <c r="X375" t="s">
        <v>37</v>
      </c>
      <c r="Y375" t="s">
        <v>38</v>
      </c>
      <c r="Z375">
        <v>4.5999999999999996</v>
      </c>
    </row>
    <row r="376" spans="1:26" x14ac:dyDescent="0.3">
      <c r="A376" t="s">
        <v>497</v>
      </c>
      <c r="B376" s="1">
        <v>46085</v>
      </c>
      <c r="C376" s="1">
        <v>46087</v>
      </c>
      <c r="D376" s="1">
        <v>46089</v>
      </c>
      <c r="E376" t="s">
        <v>72</v>
      </c>
      <c r="F376" t="s">
        <v>73</v>
      </c>
      <c r="G376" t="s">
        <v>74</v>
      </c>
      <c r="H376">
        <v>345</v>
      </c>
      <c r="I376" t="s">
        <v>60</v>
      </c>
      <c r="J376">
        <v>8</v>
      </c>
      <c r="K376">
        <v>3450</v>
      </c>
      <c r="L376">
        <v>9</v>
      </c>
      <c r="M376" t="s">
        <v>226</v>
      </c>
      <c r="N376">
        <v>7</v>
      </c>
      <c r="O376">
        <v>3.4</v>
      </c>
      <c r="P376" t="s">
        <v>66</v>
      </c>
      <c r="Q376" t="s">
        <v>38</v>
      </c>
      <c r="R376" t="s">
        <v>67</v>
      </c>
      <c r="S376">
        <v>1</v>
      </c>
      <c r="T376">
        <v>2</v>
      </c>
      <c r="U376">
        <v>1</v>
      </c>
      <c r="V376" t="s">
        <v>46</v>
      </c>
      <c r="W376" t="s">
        <v>36</v>
      </c>
      <c r="X376" t="s">
        <v>37</v>
      </c>
      <c r="Y376" t="s">
        <v>33</v>
      </c>
      <c r="Z376">
        <v>3.8</v>
      </c>
    </row>
    <row r="377" spans="1:26" x14ac:dyDescent="0.3">
      <c r="A377" t="s">
        <v>498</v>
      </c>
      <c r="B377" s="1">
        <v>46048</v>
      </c>
      <c r="C377" s="1">
        <v>46049</v>
      </c>
      <c r="D377" s="1">
        <v>46051</v>
      </c>
      <c r="E377" t="s">
        <v>40</v>
      </c>
      <c r="F377" t="s">
        <v>41</v>
      </c>
      <c r="G377" t="s">
        <v>42</v>
      </c>
      <c r="H377">
        <v>350</v>
      </c>
      <c r="I377" t="s">
        <v>43</v>
      </c>
      <c r="J377">
        <v>10</v>
      </c>
      <c r="K377">
        <v>3150</v>
      </c>
      <c r="L377">
        <v>5</v>
      </c>
      <c r="M377" t="s">
        <v>120</v>
      </c>
      <c r="N377">
        <v>3</v>
      </c>
      <c r="O377">
        <v>3.4</v>
      </c>
      <c r="P377" t="s">
        <v>53</v>
      </c>
      <c r="Q377" t="s">
        <v>38</v>
      </c>
      <c r="R377" t="s">
        <v>34</v>
      </c>
      <c r="S377">
        <v>1</v>
      </c>
      <c r="T377">
        <v>2</v>
      </c>
      <c r="U377">
        <v>1</v>
      </c>
      <c r="V377" t="s">
        <v>46</v>
      </c>
      <c r="W377" t="s">
        <v>68</v>
      </c>
      <c r="X377" t="s">
        <v>37</v>
      </c>
      <c r="Y377" t="s">
        <v>33</v>
      </c>
      <c r="Z377">
        <v>3.7</v>
      </c>
    </row>
    <row r="378" spans="1:26" x14ac:dyDescent="0.3">
      <c r="A378" t="s">
        <v>499</v>
      </c>
      <c r="B378" s="1">
        <v>46057</v>
      </c>
      <c r="C378" s="1">
        <v>46057</v>
      </c>
      <c r="D378" s="1">
        <v>46059</v>
      </c>
      <c r="E378" t="s">
        <v>49</v>
      </c>
      <c r="F378" t="s">
        <v>50</v>
      </c>
      <c r="G378" t="s">
        <v>51</v>
      </c>
      <c r="H378">
        <v>460</v>
      </c>
      <c r="I378" t="s">
        <v>87</v>
      </c>
      <c r="J378">
        <v>10</v>
      </c>
      <c r="K378">
        <v>2760</v>
      </c>
      <c r="L378">
        <v>7</v>
      </c>
      <c r="M378" t="s">
        <v>147</v>
      </c>
      <c r="N378">
        <v>2</v>
      </c>
      <c r="O378">
        <v>4.7</v>
      </c>
      <c r="P378" t="s">
        <v>53</v>
      </c>
      <c r="Q378" t="s">
        <v>62</v>
      </c>
      <c r="R378" t="s">
        <v>67</v>
      </c>
      <c r="S378">
        <v>1</v>
      </c>
      <c r="T378">
        <v>2</v>
      </c>
      <c r="U378">
        <v>1</v>
      </c>
      <c r="V378" t="s">
        <v>46</v>
      </c>
      <c r="W378" t="s">
        <v>68</v>
      </c>
      <c r="X378" t="s">
        <v>76</v>
      </c>
      <c r="Y378" t="s">
        <v>38</v>
      </c>
      <c r="Z378">
        <v>4.5999999999999996</v>
      </c>
    </row>
    <row r="379" spans="1:26" x14ac:dyDescent="0.3">
      <c r="A379" t="s">
        <v>500</v>
      </c>
      <c r="B379" s="1">
        <v>46104</v>
      </c>
      <c r="C379" s="1">
        <v>46106</v>
      </c>
      <c r="D379" s="1">
        <v>46110</v>
      </c>
      <c r="E379" t="s">
        <v>82</v>
      </c>
      <c r="F379" t="s">
        <v>83</v>
      </c>
      <c r="G379" t="s">
        <v>84</v>
      </c>
      <c r="H379">
        <v>1383</v>
      </c>
      <c r="I379" t="s">
        <v>60</v>
      </c>
      <c r="J379">
        <v>2</v>
      </c>
      <c r="K379">
        <v>12447</v>
      </c>
      <c r="L379">
        <v>9</v>
      </c>
      <c r="M379" t="s">
        <v>153</v>
      </c>
      <c r="N379">
        <v>14</v>
      </c>
      <c r="O379">
        <v>5</v>
      </c>
      <c r="P379" t="s">
        <v>53</v>
      </c>
      <c r="Q379" t="s">
        <v>62</v>
      </c>
      <c r="R379" t="s">
        <v>34</v>
      </c>
      <c r="S379">
        <v>3</v>
      </c>
      <c r="T379">
        <v>4</v>
      </c>
      <c r="U379">
        <v>1</v>
      </c>
      <c r="V379" t="s">
        <v>46</v>
      </c>
      <c r="W379" t="s">
        <v>55</v>
      </c>
      <c r="X379" t="s">
        <v>37</v>
      </c>
      <c r="Y379" t="s">
        <v>38</v>
      </c>
      <c r="Z379">
        <v>3.7</v>
      </c>
    </row>
    <row r="380" spans="1:26" x14ac:dyDescent="0.3">
      <c r="A380" t="s">
        <v>501</v>
      </c>
      <c r="B380" s="1">
        <v>46097</v>
      </c>
      <c r="C380" s="1">
        <v>46097</v>
      </c>
      <c r="D380" s="1">
        <v>46101</v>
      </c>
      <c r="E380" t="s">
        <v>82</v>
      </c>
      <c r="F380" t="s">
        <v>83</v>
      </c>
      <c r="G380" t="s">
        <v>84</v>
      </c>
      <c r="H380">
        <v>1374</v>
      </c>
      <c r="I380" t="s">
        <v>87</v>
      </c>
      <c r="J380">
        <v>7</v>
      </c>
      <c r="K380">
        <v>8244</v>
      </c>
      <c r="L380">
        <v>5</v>
      </c>
      <c r="M380" t="s">
        <v>116</v>
      </c>
      <c r="N380">
        <v>12</v>
      </c>
      <c r="O380">
        <v>4.5</v>
      </c>
      <c r="P380" t="s">
        <v>32</v>
      </c>
      <c r="Q380" t="s">
        <v>62</v>
      </c>
      <c r="R380" t="s">
        <v>54</v>
      </c>
      <c r="S380">
        <v>3</v>
      </c>
      <c r="T380">
        <v>4</v>
      </c>
      <c r="U380">
        <v>1</v>
      </c>
      <c r="V380" t="s">
        <v>46</v>
      </c>
      <c r="W380" t="s">
        <v>68</v>
      </c>
      <c r="X380" t="s">
        <v>63</v>
      </c>
      <c r="Y380" t="s">
        <v>62</v>
      </c>
      <c r="Z380">
        <v>4</v>
      </c>
    </row>
    <row r="381" spans="1:26" x14ac:dyDescent="0.3">
      <c r="A381" t="s">
        <v>502</v>
      </c>
      <c r="B381" s="1">
        <v>46033</v>
      </c>
      <c r="C381" s="1">
        <v>46035</v>
      </c>
      <c r="D381" s="1">
        <v>46039</v>
      </c>
      <c r="E381" t="s">
        <v>27</v>
      </c>
      <c r="F381" t="s">
        <v>28</v>
      </c>
      <c r="G381" t="s">
        <v>29</v>
      </c>
      <c r="H381">
        <v>1619</v>
      </c>
      <c r="I381" t="s">
        <v>43</v>
      </c>
      <c r="J381">
        <v>4</v>
      </c>
      <c r="K381">
        <v>11333</v>
      </c>
      <c r="L381">
        <v>7</v>
      </c>
      <c r="M381" t="s">
        <v>99</v>
      </c>
      <c r="N381">
        <v>4</v>
      </c>
      <c r="O381">
        <v>4.3</v>
      </c>
      <c r="P381" t="s">
        <v>32</v>
      </c>
      <c r="Q381" t="s">
        <v>38</v>
      </c>
      <c r="R381" t="s">
        <v>34</v>
      </c>
      <c r="S381">
        <v>3</v>
      </c>
      <c r="T381">
        <v>4</v>
      </c>
      <c r="U381">
        <v>1</v>
      </c>
      <c r="V381" t="s">
        <v>46</v>
      </c>
      <c r="W381" t="s">
        <v>36</v>
      </c>
      <c r="X381" t="s">
        <v>95</v>
      </c>
      <c r="Y381" t="s">
        <v>33</v>
      </c>
      <c r="Z381">
        <v>4.5</v>
      </c>
    </row>
    <row r="382" spans="1:26" x14ac:dyDescent="0.3">
      <c r="A382" t="s">
        <v>503</v>
      </c>
      <c r="B382" s="1">
        <v>46026</v>
      </c>
      <c r="C382" s="1">
        <v>46027</v>
      </c>
      <c r="D382" s="1">
        <v>46032</v>
      </c>
      <c r="E382" t="s">
        <v>92</v>
      </c>
      <c r="F382" t="s">
        <v>93</v>
      </c>
      <c r="G382" t="s">
        <v>94</v>
      </c>
      <c r="H382">
        <v>1780</v>
      </c>
      <c r="I382" t="s">
        <v>60</v>
      </c>
      <c r="J382">
        <v>7</v>
      </c>
      <c r="K382">
        <v>12460</v>
      </c>
      <c r="L382">
        <v>7</v>
      </c>
      <c r="M382" t="s">
        <v>222</v>
      </c>
      <c r="N382">
        <v>8</v>
      </c>
      <c r="O382">
        <v>4.4000000000000004</v>
      </c>
      <c r="P382" t="s">
        <v>32</v>
      </c>
      <c r="Q382" t="s">
        <v>33</v>
      </c>
      <c r="R382" t="s">
        <v>67</v>
      </c>
      <c r="S382">
        <v>3</v>
      </c>
      <c r="T382">
        <v>5</v>
      </c>
      <c r="U382">
        <v>2</v>
      </c>
      <c r="V382" t="s">
        <v>46</v>
      </c>
      <c r="W382" t="s">
        <v>55</v>
      </c>
      <c r="X382" t="s">
        <v>63</v>
      </c>
      <c r="Y382" t="s">
        <v>62</v>
      </c>
      <c r="Z382">
        <v>3.9</v>
      </c>
    </row>
    <row r="383" spans="1:26" x14ac:dyDescent="0.3">
      <c r="A383" t="s">
        <v>504</v>
      </c>
      <c r="B383" s="1">
        <v>46057</v>
      </c>
      <c r="C383" s="1">
        <v>46059</v>
      </c>
      <c r="D383" s="1">
        <v>46064</v>
      </c>
      <c r="E383" t="s">
        <v>40</v>
      </c>
      <c r="F383" t="s">
        <v>41</v>
      </c>
      <c r="G383" t="s">
        <v>42</v>
      </c>
      <c r="H383">
        <v>1602</v>
      </c>
      <c r="I383" t="s">
        <v>87</v>
      </c>
      <c r="J383">
        <v>10</v>
      </c>
      <c r="K383">
        <v>12816</v>
      </c>
      <c r="L383">
        <v>10</v>
      </c>
      <c r="M383" t="s">
        <v>208</v>
      </c>
      <c r="N383">
        <v>9</v>
      </c>
      <c r="O383">
        <v>4.9000000000000004</v>
      </c>
      <c r="P383" t="s">
        <v>66</v>
      </c>
      <c r="Q383" t="s">
        <v>38</v>
      </c>
      <c r="R383" t="s">
        <v>67</v>
      </c>
      <c r="S383">
        <v>3</v>
      </c>
      <c r="T383">
        <v>5</v>
      </c>
      <c r="U383">
        <v>2</v>
      </c>
      <c r="V383" t="s">
        <v>46</v>
      </c>
      <c r="W383" t="s">
        <v>68</v>
      </c>
      <c r="X383" t="s">
        <v>76</v>
      </c>
      <c r="Y383" t="s">
        <v>38</v>
      </c>
      <c r="Z383">
        <v>3.7</v>
      </c>
    </row>
    <row r="384" spans="1:26" x14ac:dyDescent="0.3">
      <c r="A384" t="s">
        <v>505</v>
      </c>
      <c r="B384" s="1">
        <v>46045</v>
      </c>
      <c r="C384" s="1">
        <v>46047</v>
      </c>
      <c r="D384" s="1">
        <v>46051</v>
      </c>
      <c r="E384" t="s">
        <v>72</v>
      </c>
      <c r="F384" t="s">
        <v>73</v>
      </c>
      <c r="G384" t="s">
        <v>74</v>
      </c>
      <c r="H384">
        <v>1348</v>
      </c>
      <c r="I384" t="s">
        <v>60</v>
      </c>
      <c r="J384">
        <v>3</v>
      </c>
      <c r="K384">
        <v>10784</v>
      </c>
      <c r="L384">
        <v>6</v>
      </c>
      <c r="M384" t="s">
        <v>52</v>
      </c>
      <c r="N384">
        <v>2</v>
      </c>
      <c r="O384">
        <v>4.3</v>
      </c>
      <c r="P384" t="s">
        <v>45</v>
      </c>
      <c r="Q384" t="s">
        <v>33</v>
      </c>
      <c r="R384" t="s">
        <v>67</v>
      </c>
      <c r="S384">
        <v>2</v>
      </c>
      <c r="T384">
        <v>4</v>
      </c>
      <c r="U384">
        <v>2</v>
      </c>
      <c r="V384" t="s">
        <v>46</v>
      </c>
      <c r="W384" t="s">
        <v>55</v>
      </c>
      <c r="X384" t="s">
        <v>95</v>
      </c>
      <c r="Y384" t="s">
        <v>62</v>
      </c>
      <c r="Z384">
        <v>3.1</v>
      </c>
    </row>
    <row r="385" spans="1:26" x14ac:dyDescent="0.3">
      <c r="A385" t="s">
        <v>506</v>
      </c>
      <c r="B385" s="1">
        <v>46070</v>
      </c>
      <c r="C385" s="1">
        <v>46071</v>
      </c>
      <c r="D385" s="1">
        <v>46073</v>
      </c>
      <c r="E385" t="s">
        <v>92</v>
      </c>
      <c r="F385" t="s">
        <v>93</v>
      </c>
      <c r="G385" t="s">
        <v>94</v>
      </c>
      <c r="H385">
        <v>1195</v>
      </c>
      <c r="I385" t="s">
        <v>87</v>
      </c>
      <c r="J385">
        <v>8</v>
      </c>
      <c r="K385">
        <v>13145</v>
      </c>
      <c r="L385">
        <v>9</v>
      </c>
      <c r="M385" t="s">
        <v>123</v>
      </c>
      <c r="N385">
        <v>14</v>
      </c>
      <c r="O385">
        <v>4.0999999999999996</v>
      </c>
      <c r="P385" t="s">
        <v>66</v>
      </c>
      <c r="Q385" t="s">
        <v>62</v>
      </c>
      <c r="R385" t="s">
        <v>54</v>
      </c>
      <c r="S385">
        <v>2</v>
      </c>
      <c r="T385">
        <v>2</v>
      </c>
      <c r="U385">
        <v>0</v>
      </c>
      <c r="V385" t="s">
        <v>35</v>
      </c>
      <c r="W385" t="s">
        <v>36</v>
      </c>
      <c r="X385" t="s">
        <v>95</v>
      </c>
      <c r="Y385" t="s">
        <v>38</v>
      </c>
      <c r="Z385">
        <v>3.2</v>
      </c>
    </row>
    <row r="386" spans="1:26" x14ac:dyDescent="0.3">
      <c r="A386" t="s">
        <v>507</v>
      </c>
      <c r="B386" s="1">
        <v>46137</v>
      </c>
      <c r="C386" s="1">
        <v>46137</v>
      </c>
      <c r="D386" s="1">
        <v>46141</v>
      </c>
      <c r="E386" t="s">
        <v>57</v>
      </c>
      <c r="F386" t="s">
        <v>58</v>
      </c>
      <c r="G386" t="s">
        <v>59</v>
      </c>
      <c r="H386">
        <v>357</v>
      </c>
      <c r="I386" t="s">
        <v>87</v>
      </c>
      <c r="J386">
        <v>3</v>
      </c>
      <c r="K386">
        <v>2856</v>
      </c>
      <c r="L386">
        <v>5</v>
      </c>
      <c r="M386" t="s">
        <v>65</v>
      </c>
      <c r="N386">
        <v>3</v>
      </c>
      <c r="O386">
        <v>4</v>
      </c>
      <c r="P386" t="s">
        <v>45</v>
      </c>
      <c r="Q386" t="s">
        <v>33</v>
      </c>
      <c r="R386" t="s">
        <v>54</v>
      </c>
      <c r="S386">
        <v>1</v>
      </c>
      <c r="T386">
        <v>4</v>
      </c>
      <c r="U386">
        <v>3</v>
      </c>
      <c r="V386" t="s">
        <v>46</v>
      </c>
      <c r="W386" t="s">
        <v>55</v>
      </c>
      <c r="X386" t="s">
        <v>76</v>
      </c>
      <c r="Y386" t="s">
        <v>38</v>
      </c>
      <c r="Z386">
        <v>3.9</v>
      </c>
    </row>
    <row r="387" spans="1:26" x14ac:dyDescent="0.3">
      <c r="A387" t="s">
        <v>508</v>
      </c>
      <c r="B387" s="1">
        <v>46076</v>
      </c>
      <c r="C387" s="1">
        <v>46077</v>
      </c>
      <c r="D387" s="1">
        <v>46082</v>
      </c>
      <c r="E387" t="s">
        <v>27</v>
      </c>
      <c r="F387" t="s">
        <v>28</v>
      </c>
      <c r="G387" t="s">
        <v>29</v>
      </c>
      <c r="H387">
        <v>797</v>
      </c>
      <c r="I387" t="s">
        <v>60</v>
      </c>
      <c r="J387">
        <v>2</v>
      </c>
      <c r="K387">
        <v>4782</v>
      </c>
      <c r="L387">
        <v>6</v>
      </c>
      <c r="M387" t="s">
        <v>85</v>
      </c>
      <c r="N387">
        <v>11</v>
      </c>
      <c r="O387">
        <v>3.7</v>
      </c>
      <c r="P387" t="s">
        <v>66</v>
      </c>
      <c r="Q387" t="s">
        <v>33</v>
      </c>
      <c r="R387" t="s">
        <v>54</v>
      </c>
      <c r="S387">
        <v>1</v>
      </c>
      <c r="T387">
        <v>5</v>
      </c>
      <c r="U387">
        <v>4</v>
      </c>
      <c r="V387" t="s">
        <v>46</v>
      </c>
      <c r="W387" t="s">
        <v>55</v>
      </c>
      <c r="X387" t="s">
        <v>76</v>
      </c>
      <c r="Y387" t="s">
        <v>33</v>
      </c>
      <c r="Z387">
        <v>3.9</v>
      </c>
    </row>
    <row r="388" spans="1:26" x14ac:dyDescent="0.3">
      <c r="A388" t="s">
        <v>509</v>
      </c>
      <c r="B388" s="1">
        <v>46061</v>
      </c>
      <c r="C388" s="1">
        <v>46063</v>
      </c>
      <c r="D388" s="1">
        <v>46065</v>
      </c>
      <c r="E388" t="s">
        <v>82</v>
      </c>
      <c r="F388" t="s">
        <v>83</v>
      </c>
      <c r="G388" t="s">
        <v>84</v>
      </c>
      <c r="H388">
        <v>827</v>
      </c>
      <c r="I388" t="s">
        <v>60</v>
      </c>
      <c r="J388">
        <v>5</v>
      </c>
      <c r="K388">
        <v>5789</v>
      </c>
      <c r="L388">
        <v>8</v>
      </c>
      <c r="M388" t="s">
        <v>80</v>
      </c>
      <c r="N388">
        <v>5</v>
      </c>
      <c r="O388">
        <v>4.5</v>
      </c>
      <c r="P388" t="s">
        <v>32</v>
      </c>
      <c r="Q388" t="s">
        <v>38</v>
      </c>
      <c r="R388" t="s">
        <v>34</v>
      </c>
      <c r="S388">
        <v>1</v>
      </c>
      <c r="T388">
        <v>2</v>
      </c>
      <c r="U388">
        <v>1</v>
      </c>
      <c r="V388" t="s">
        <v>46</v>
      </c>
      <c r="W388" t="s">
        <v>68</v>
      </c>
      <c r="X388" t="s">
        <v>37</v>
      </c>
      <c r="Y388" t="s">
        <v>33</v>
      </c>
      <c r="Z388">
        <v>4.8</v>
      </c>
    </row>
    <row r="389" spans="1:26" x14ac:dyDescent="0.3">
      <c r="A389" t="s">
        <v>510</v>
      </c>
      <c r="B389" s="1">
        <v>46114</v>
      </c>
      <c r="C389" s="1">
        <v>46116</v>
      </c>
      <c r="D389" s="1">
        <v>46117</v>
      </c>
      <c r="E389" t="s">
        <v>57</v>
      </c>
      <c r="F389" t="s">
        <v>58</v>
      </c>
      <c r="G389" t="s">
        <v>59</v>
      </c>
      <c r="H389">
        <v>573</v>
      </c>
      <c r="I389" t="s">
        <v>60</v>
      </c>
      <c r="J389">
        <v>3</v>
      </c>
      <c r="K389">
        <v>4011</v>
      </c>
      <c r="L389">
        <v>6</v>
      </c>
      <c r="M389" t="s">
        <v>118</v>
      </c>
      <c r="N389">
        <v>1</v>
      </c>
      <c r="O389">
        <v>5</v>
      </c>
      <c r="P389" t="s">
        <v>45</v>
      </c>
      <c r="Q389" t="s">
        <v>62</v>
      </c>
      <c r="R389" t="s">
        <v>34</v>
      </c>
      <c r="S389">
        <v>1</v>
      </c>
      <c r="T389">
        <v>1</v>
      </c>
      <c r="U389">
        <v>0</v>
      </c>
      <c r="V389" t="s">
        <v>35</v>
      </c>
      <c r="W389" t="s">
        <v>36</v>
      </c>
      <c r="X389" t="s">
        <v>76</v>
      </c>
      <c r="Y389" t="s">
        <v>33</v>
      </c>
      <c r="Z389">
        <v>3.1</v>
      </c>
    </row>
    <row r="390" spans="1:26" x14ac:dyDescent="0.3">
      <c r="A390" t="s">
        <v>511</v>
      </c>
      <c r="B390" s="1">
        <v>46063</v>
      </c>
      <c r="C390" s="1">
        <v>46064</v>
      </c>
      <c r="D390" s="1">
        <v>46068</v>
      </c>
      <c r="E390" t="s">
        <v>82</v>
      </c>
      <c r="F390" t="s">
        <v>83</v>
      </c>
      <c r="G390" t="s">
        <v>84</v>
      </c>
      <c r="H390">
        <v>963</v>
      </c>
      <c r="I390" t="s">
        <v>43</v>
      </c>
      <c r="J390">
        <v>9</v>
      </c>
      <c r="K390">
        <v>6741</v>
      </c>
      <c r="L390">
        <v>9</v>
      </c>
      <c r="M390" t="s">
        <v>131</v>
      </c>
      <c r="N390">
        <v>2</v>
      </c>
      <c r="O390">
        <v>4.8</v>
      </c>
      <c r="P390" t="s">
        <v>53</v>
      </c>
      <c r="Q390" t="s">
        <v>62</v>
      </c>
      <c r="R390" t="s">
        <v>67</v>
      </c>
      <c r="S390">
        <v>2</v>
      </c>
      <c r="T390">
        <v>4</v>
      </c>
      <c r="U390">
        <v>2</v>
      </c>
      <c r="V390" t="s">
        <v>46</v>
      </c>
      <c r="W390" t="s">
        <v>36</v>
      </c>
      <c r="X390" t="s">
        <v>63</v>
      </c>
      <c r="Y390" t="s">
        <v>33</v>
      </c>
      <c r="Z390">
        <v>4.0999999999999996</v>
      </c>
    </row>
    <row r="391" spans="1:26" x14ac:dyDescent="0.3">
      <c r="A391" t="s">
        <v>512</v>
      </c>
      <c r="B391" s="1">
        <v>46087</v>
      </c>
      <c r="C391" s="1">
        <v>46088</v>
      </c>
      <c r="D391" s="1">
        <v>46093</v>
      </c>
      <c r="E391" t="s">
        <v>57</v>
      </c>
      <c r="F391" t="s">
        <v>58</v>
      </c>
      <c r="G391" t="s">
        <v>59</v>
      </c>
      <c r="H391">
        <v>1170</v>
      </c>
      <c r="I391" t="s">
        <v>30</v>
      </c>
      <c r="J391">
        <v>10</v>
      </c>
      <c r="K391">
        <v>12870</v>
      </c>
      <c r="L391">
        <v>6</v>
      </c>
      <c r="M391" t="s">
        <v>105</v>
      </c>
      <c r="N391">
        <v>12</v>
      </c>
      <c r="O391">
        <v>4.8</v>
      </c>
      <c r="P391" t="s">
        <v>53</v>
      </c>
      <c r="Q391" t="s">
        <v>62</v>
      </c>
      <c r="R391" t="s">
        <v>54</v>
      </c>
      <c r="S391">
        <v>2</v>
      </c>
      <c r="T391">
        <v>5</v>
      </c>
      <c r="U391">
        <v>3</v>
      </c>
      <c r="V391" t="s">
        <v>46</v>
      </c>
      <c r="W391" t="s">
        <v>36</v>
      </c>
      <c r="X391" t="s">
        <v>37</v>
      </c>
      <c r="Y391" t="s">
        <v>33</v>
      </c>
      <c r="Z391">
        <v>4.0999999999999996</v>
      </c>
    </row>
    <row r="392" spans="1:26" x14ac:dyDescent="0.3">
      <c r="A392" t="s">
        <v>513</v>
      </c>
      <c r="B392" s="1">
        <v>46062</v>
      </c>
      <c r="C392" s="1">
        <v>46062</v>
      </c>
      <c r="D392" s="1">
        <v>46066</v>
      </c>
      <c r="E392" t="s">
        <v>111</v>
      </c>
      <c r="F392" t="s">
        <v>27</v>
      </c>
      <c r="G392" t="s">
        <v>112</v>
      </c>
      <c r="H392">
        <v>1464</v>
      </c>
      <c r="I392" t="s">
        <v>60</v>
      </c>
      <c r="J392">
        <v>8</v>
      </c>
      <c r="K392">
        <v>11712</v>
      </c>
      <c r="L392">
        <v>5</v>
      </c>
      <c r="M392" t="s">
        <v>226</v>
      </c>
      <c r="N392">
        <v>1</v>
      </c>
      <c r="O392">
        <v>4.2</v>
      </c>
      <c r="P392" t="s">
        <v>45</v>
      </c>
      <c r="Q392" t="s">
        <v>33</v>
      </c>
      <c r="R392" t="s">
        <v>54</v>
      </c>
      <c r="S392">
        <v>3</v>
      </c>
      <c r="T392">
        <v>4</v>
      </c>
      <c r="U392">
        <v>1</v>
      </c>
      <c r="V392" t="s">
        <v>46</v>
      </c>
      <c r="W392" t="s">
        <v>36</v>
      </c>
      <c r="X392" t="s">
        <v>63</v>
      </c>
      <c r="Y392" t="s">
        <v>33</v>
      </c>
      <c r="Z392">
        <v>4.7</v>
      </c>
    </row>
    <row r="393" spans="1:26" x14ac:dyDescent="0.3">
      <c r="A393" t="s">
        <v>514</v>
      </c>
      <c r="B393" s="1">
        <v>46109</v>
      </c>
      <c r="C393" s="1">
        <v>46111</v>
      </c>
      <c r="D393" s="1">
        <v>46114</v>
      </c>
      <c r="E393" t="s">
        <v>72</v>
      </c>
      <c r="F393" t="s">
        <v>73</v>
      </c>
      <c r="G393" t="s">
        <v>74</v>
      </c>
      <c r="H393">
        <v>1248</v>
      </c>
      <c r="I393" t="s">
        <v>43</v>
      </c>
      <c r="J393">
        <v>4</v>
      </c>
      <c r="K393">
        <v>11232</v>
      </c>
      <c r="L393">
        <v>7</v>
      </c>
      <c r="M393" t="s">
        <v>269</v>
      </c>
      <c r="N393">
        <v>10</v>
      </c>
      <c r="O393">
        <v>4</v>
      </c>
      <c r="P393" t="s">
        <v>32</v>
      </c>
      <c r="Q393" t="s">
        <v>33</v>
      </c>
      <c r="R393" t="s">
        <v>34</v>
      </c>
      <c r="S393">
        <v>2</v>
      </c>
      <c r="T393">
        <v>3</v>
      </c>
      <c r="U393">
        <v>1</v>
      </c>
      <c r="V393" t="s">
        <v>46</v>
      </c>
      <c r="W393" t="s">
        <v>55</v>
      </c>
      <c r="X393" t="s">
        <v>95</v>
      </c>
      <c r="Y393" t="s">
        <v>62</v>
      </c>
      <c r="Z393">
        <v>3.8</v>
      </c>
    </row>
    <row r="394" spans="1:26" x14ac:dyDescent="0.3">
      <c r="A394" t="s">
        <v>515</v>
      </c>
      <c r="B394" s="1">
        <v>46024</v>
      </c>
      <c r="C394" s="1">
        <v>46025</v>
      </c>
      <c r="D394" s="1">
        <v>46028</v>
      </c>
      <c r="E394" t="s">
        <v>49</v>
      </c>
      <c r="F394" t="s">
        <v>50</v>
      </c>
      <c r="G394" t="s">
        <v>51</v>
      </c>
      <c r="H394">
        <v>919</v>
      </c>
      <c r="I394" t="s">
        <v>30</v>
      </c>
      <c r="J394">
        <v>8</v>
      </c>
      <c r="K394">
        <v>11028</v>
      </c>
      <c r="L394">
        <v>9</v>
      </c>
      <c r="M394" t="s">
        <v>109</v>
      </c>
      <c r="N394">
        <v>4</v>
      </c>
      <c r="O394">
        <v>4.5</v>
      </c>
      <c r="P394" t="s">
        <v>53</v>
      </c>
      <c r="Q394" t="s">
        <v>33</v>
      </c>
      <c r="R394" t="s">
        <v>34</v>
      </c>
      <c r="S394">
        <v>2</v>
      </c>
      <c r="T394">
        <v>3</v>
      </c>
      <c r="U394">
        <v>1</v>
      </c>
      <c r="V394" t="s">
        <v>46</v>
      </c>
      <c r="W394" t="s">
        <v>55</v>
      </c>
      <c r="X394" t="s">
        <v>95</v>
      </c>
      <c r="Y394" t="s">
        <v>33</v>
      </c>
      <c r="Z394">
        <v>4.8</v>
      </c>
    </row>
    <row r="395" spans="1:26" x14ac:dyDescent="0.3">
      <c r="A395" t="s">
        <v>516</v>
      </c>
      <c r="B395" s="1">
        <v>46040</v>
      </c>
      <c r="C395" s="1">
        <v>46042</v>
      </c>
      <c r="D395" s="1">
        <v>46045</v>
      </c>
      <c r="E395" t="s">
        <v>72</v>
      </c>
      <c r="F395" t="s">
        <v>73</v>
      </c>
      <c r="G395" t="s">
        <v>74</v>
      </c>
      <c r="H395">
        <v>494</v>
      </c>
      <c r="I395" t="s">
        <v>60</v>
      </c>
      <c r="J395">
        <v>5</v>
      </c>
      <c r="K395">
        <v>4446</v>
      </c>
      <c r="L395">
        <v>9</v>
      </c>
      <c r="M395" t="s">
        <v>143</v>
      </c>
      <c r="N395">
        <v>2</v>
      </c>
      <c r="O395">
        <v>4.9000000000000004</v>
      </c>
      <c r="P395" t="s">
        <v>53</v>
      </c>
      <c r="Q395" t="s">
        <v>38</v>
      </c>
      <c r="R395" t="s">
        <v>67</v>
      </c>
      <c r="S395">
        <v>1</v>
      </c>
      <c r="T395">
        <v>3</v>
      </c>
      <c r="U395">
        <v>2</v>
      </c>
      <c r="V395" t="s">
        <v>46</v>
      </c>
      <c r="W395" t="s">
        <v>68</v>
      </c>
      <c r="X395" t="s">
        <v>95</v>
      </c>
      <c r="Y395" t="s">
        <v>38</v>
      </c>
      <c r="Z395">
        <v>4.0999999999999996</v>
      </c>
    </row>
    <row r="396" spans="1:26" x14ac:dyDescent="0.3">
      <c r="A396" t="s">
        <v>517</v>
      </c>
      <c r="B396" s="1">
        <v>46113</v>
      </c>
      <c r="C396" s="1">
        <v>46115</v>
      </c>
      <c r="D396" s="1">
        <v>46121</v>
      </c>
      <c r="E396" t="s">
        <v>82</v>
      </c>
      <c r="F396" t="s">
        <v>83</v>
      </c>
      <c r="G396" t="s">
        <v>84</v>
      </c>
      <c r="H396">
        <v>608</v>
      </c>
      <c r="I396" t="s">
        <v>60</v>
      </c>
      <c r="J396">
        <v>7</v>
      </c>
      <c r="K396">
        <v>4864</v>
      </c>
      <c r="L396">
        <v>9</v>
      </c>
      <c r="M396" t="s">
        <v>153</v>
      </c>
      <c r="N396">
        <v>1</v>
      </c>
      <c r="O396">
        <v>4.5999999999999996</v>
      </c>
      <c r="P396" t="s">
        <v>66</v>
      </c>
      <c r="Q396" t="s">
        <v>33</v>
      </c>
      <c r="R396" t="s">
        <v>34</v>
      </c>
      <c r="S396">
        <v>1</v>
      </c>
      <c r="T396">
        <v>6</v>
      </c>
      <c r="U396">
        <v>5</v>
      </c>
      <c r="V396" t="s">
        <v>46</v>
      </c>
      <c r="W396" t="s">
        <v>68</v>
      </c>
      <c r="X396" t="s">
        <v>37</v>
      </c>
      <c r="Y396" t="s">
        <v>38</v>
      </c>
      <c r="Z396">
        <v>4.5999999999999996</v>
      </c>
    </row>
    <row r="397" spans="1:26" x14ac:dyDescent="0.3">
      <c r="A397" t="s">
        <v>518</v>
      </c>
      <c r="B397" s="1">
        <v>46042</v>
      </c>
      <c r="C397" s="1">
        <v>46043</v>
      </c>
      <c r="D397" s="1">
        <v>46047</v>
      </c>
      <c r="E397" t="s">
        <v>57</v>
      </c>
      <c r="F397" t="s">
        <v>58</v>
      </c>
      <c r="G397" t="s">
        <v>59</v>
      </c>
      <c r="H397">
        <v>1511</v>
      </c>
      <c r="I397" t="s">
        <v>43</v>
      </c>
      <c r="J397">
        <v>2</v>
      </c>
      <c r="K397">
        <v>16621</v>
      </c>
      <c r="L397">
        <v>10</v>
      </c>
      <c r="M397" t="s">
        <v>99</v>
      </c>
      <c r="N397">
        <v>7</v>
      </c>
      <c r="O397">
        <v>3.4</v>
      </c>
      <c r="P397" t="s">
        <v>45</v>
      </c>
      <c r="Q397" t="s">
        <v>38</v>
      </c>
      <c r="R397" t="s">
        <v>67</v>
      </c>
      <c r="S397">
        <v>3</v>
      </c>
      <c r="T397">
        <v>4</v>
      </c>
      <c r="U397">
        <v>1</v>
      </c>
      <c r="V397" t="s">
        <v>46</v>
      </c>
      <c r="W397" t="s">
        <v>36</v>
      </c>
      <c r="X397" t="s">
        <v>76</v>
      </c>
      <c r="Y397" t="s">
        <v>33</v>
      </c>
      <c r="Z397">
        <v>3.7</v>
      </c>
    </row>
    <row r="398" spans="1:26" x14ac:dyDescent="0.3">
      <c r="A398" t="s">
        <v>519</v>
      </c>
      <c r="B398" s="1">
        <v>46084</v>
      </c>
      <c r="C398" s="1">
        <v>46086</v>
      </c>
      <c r="D398" s="1">
        <v>46087</v>
      </c>
      <c r="E398" t="s">
        <v>111</v>
      </c>
      <c r="F398" t="s">
        <v>27</v>
      </c>
      <c r="G398" t="s">
        <v>112</v>
      </c>
      <c r="H398">
        <v>728</v>
      </c>
      <c r="I398" t="s">
        <v>43</v>
      </c>
      <c r="J398">
        <v>2</v>
      </c>
      <c r="K398">
        <v>5824</v>
      </c>
      <c r="L398">
        <v>9</v>
      </c>
      <c r="M398" t="s">
        <v>78</v>
      </c>
      <c r="N398">
        <v>10</v>
      </c>
      <c r="O398">
        <v>3</v>
      </c>
      <c r="P398" t="s">
        <v>66</v>
      </c>
      <c r="Q398" t="s">
        <v>38</v>
      </c>
      <c r="R398" t="s">
        <v>54</v>
      </c>
      <c r="S398">
        <v>1</v>
      </c>
      <c r="T398">
        <v>1</v>
      </c>
      <c r="U398">
        <v>0</v>
      </c>
      <c r="V398" t="s">
        <v>35</v>
      </c>
      <c r="W398" t="s">
        <v>68</v>
      </c>
      <c r="X398" t="s">
        <v>95</v>
      </c>
      <c r="Y398" t="s">
        <v>33</v>
      </c>
      <c r="Z398">
        <v>3.3</v>
      </c>
    </row>
    <row r="399" spans="1:26" x14ac:dyDescent="0.3">
      <c r="A399" t="s">
        <v>520</v>
      </c>
      <c r="B399" s="1">
        <v>46043</v>
      </c>
      <c r="C399" s="1">
        <v>46043</v>
      </c>
      <c r="D399" s="1">
        <v>46045</v>
      </c>
      <c r="E399" t="s">
        <v>57</v>
      </c>
      <c r="F399" t="s">
        <v>58</v>
      </c>
      <c r="G399" t="s">
        <v>59</v>
      </c>
      <c r="H399">
        <v>939</v>
      </c>
      <c r="I399" t="s">
        <v>43</v>
      </c>
      <c r="J399">
        <v>6</v>
      </c>
      <c r="K399">
        <v>5634</v>
      </c>
      <c r="L399">
        <v>7</v>
      </c>
      <c r="M399" t="s">
        <v>99</v>
      </c>
      <c r="N399">
        <v>9</v>
      </c>
      <c r="O399">
        <v>4.3</v>
      </c>
      <c r="P399" t="s">
        <v>32</v>
      </c>
      <c r="Q399" t="s">
        <v>33</v>
      </c>
      <c r="R399" t="s">
        <v>67</v>
      </c>
      <c r="S399">
        <v>2</v>
      </c>
      <c r="T399">
        <v>2</v>
      </c>
      <c r="U399">
        <v>0</v>
      </c>
      <c r="V399" t="s">
        <v>35</v>
      </c>
      <c r="W399" t="s">
        <v>55</v>
      </c>
      <c r="X399" t="s">
        <v>37</v>
      </c>
      <c r="Y399" t="s">
        <v>33</v>
      </c>
      <c r="Z399">
        <v>3.6</v>
      </c>
    </row>
    <row r="400" spans="1:26" x14ac:dyDescent="0.3">
      <c r="A400" t="s">
        <v>521</v>
      </c>
      <c r="B400" s="1">
        <v>46063</v>
      </c>
      <c r="C400" s="1">
        <v>46065</v>
      </c>
      <c r="D400" s="1">
        <v>46069</v>
      </c>
      <c r="E400" t="s">
        <v>57</v>
      </c>
      <c r="F400" t="s">
        <v>58</v>
      </c>
      <c r="G400" t="s">
        <v>59</v>
      </c>
      <c r="H400">
        <v>755</v>
      </c>
      <c r="I400" t="s">
        <v>30</v>
      </c>
      <c r="J400">
        <v>2</v>
      </c>
      <c r="K400">
        <v>7550</v>
      </c>
      <c r="L400">
        <v>9</v>
      </c>
      <c r="M400" t="s">
        <v>178</v>
      </c>
      <c r="N400">
        <v>14</v>
      </c>
      <c r="O400">
        <v>3.3</v>
      </c>
      <c r="P400" t="s">
        <v>45</v>
      </c>
      <c r="Q400" t="s">
        <v>33</v>
      </c>
      <c r="R400" t="s">
        <v>34</v>
      </c>
      <c r="S400">
        <v>1</v>
      </c>
      <c r="T400">
        <v>4</v>
      </c>
      <c r="U400">
        <v>3</v>
      </c>
      <c r="V400" t="s">
        <v>46</v>
      </c>
      <c r="W400" t="s">
        <v>68</v>
      </c>
      <c r="X400" t="s">
        <v>37</v>
      </c>
      <c r="Y400" t="s">
        <v>38</v>
      </c>
      <c r="Z400">
        <v>3.4</v>
      </c>
    </row>
    <row r="401" spans="1:26" x14ac:dyDescent="0.3">
      <c r="A401" t="s">
        <v>522</v>
      </c>
      <c r="B401" s="1">
        <v>46087</v>
      </c>
      <c r="C401" s="1">
        <v>46087</v>
      </c>
      <c r="D401" s="1">
        <v>46090</v>
      </c>
      <c r="E401" t="s">
        <v>40</v>
      </c>
      <c r="F401" t="s">
        <v>41</v>
      </c>
      <c r="G401" t="s">
        <v>42</v>
      </c>
      <c r="H401">
        <v>1344</v>
      </c>
      <c r="I401" t="s">
        <v>87</v>
      </c>
      <c r="J401">
        <v>7</v>
      </c>
      <c r="K401">
        <v>12096</v>
      </c>
      <c r="L401">
        <v>5</v>
      </c>
      <c r="M401" t="s">
        <v>118</v>
      </c>
      <c r="N401">
        <v>14</v>
      </c>
      <c r="O401">
        <v>3.3</v>
      </c>
      <c r="P401" t="s">
        <v>32</v>
      </c>
      <c r="Q401" t="s">
        <v>62</v>
      </c>
      <c r="R401" t="s">
        <v>34</v>
      </c>
      <c r="S401">
        <v>2</v>
      </c>
      <c r="T401">
        <v>3</v>
      </c>
      <c r="U401">
        <v>1</v>
      </c>
      <c r="V401" t="s">
        <v>46</v>
      </c>
      <c r="W401" t="s">
        <v>55</v>
      </c>
      <c r="X401" t="s">
        <v>47</v>
      </c>
      <c r="Y401" t="s">
        <v>38</v>
      </c>
      <c r="Z401">
        <v>4.5999999999999996</v>
      </c>
    </row>
    <row r="402" spans="1:26" x14ac:dyDescent="0.3">
      <c r="A402" t="s">
        <v>523</v>
      </c>
      <c r="B402" s="1">
        <v>46136</v>
      </c>
      <c r="C402" s="1">
        <v>46138</v>
      </c>
      <c r="D402" s="1">
        <v>46140</v>
      </c>
      <c r="E402" t="s">
        <v>49</v>
      </c>
      <c r="F402" t="s">
        <v>50</v>
      </c>
      <c r="G402" t="s">
        <v>51</v>
      </c>
      <c r="H402">
        <v>552</v>
      </c>
      <c r="I402" t="s">
        <v>30</v>
      </c>
      <c r="J402">
        <v>1</v>
      </c>
      <c r="K402">
        <v>6072</v>
      </c>
      <c r="L402">
        <v>5</v>
      </c>
      <c r="M402" t="s">
        <v>239</v>
      </c>
      <c r="N402">
        <v>3</v>
      </c>
      <c r="O402">
        <v>4.7</v>
      </c>
      <c r="P402" t="s">
        <v>45</v>
      </c>
      <c r="Q402" t="s">
        <v>33</v>
      </c>
      <c r="R402" t="s">
        <v>67</v>
      </c>
      <c r="S402">
        <v>1</v>
      </c>
      <c r="T402">
        <v>2</v>
      </c>
      <c r="U402">
        <v>1</v>
      </c>
      <c r="V402" t="s">
        <v>46</v>
      </c>
      <c r="W402" t="s">
        <v>36</v>
      </c>
      <c r="X402" t="s">
        <v>63</v>
      </c>
      <c r="Y402" t="s">
        <v>62</v>
      </c>
      <c r="Z402">
        <v>4.4000000000000004</v>
      </c>
    </row>
    <row r="403" spans="1:26" x14ac:dyDescent="0.3">
      <c r="A403" t="s">
        <v>524</v>
      </c>
      <c r="B403" s="1">
        <v>46123</v>
      </c>
      <c r="C403" s="1">
        <v>46123</v>
      </c>
      <c r="D403" s="1">
        <v>46125</v>
      </c>
      <c r="E403" t="s">
        <v>72</v>
      </c>
      <c r="F403" t="s">
        <v>73</v>
      </c>
      <c r="G403" t="s">
        <v>74</v>
      </c>
      <c r="H403">
        <v>238</v>
      </c>
      <c r="I403" t="s">
        <v>43</v>
      </c>
      <c r="J403">
        <v>7</v>
      </c>
      <c r="K403">
        <v>1428</v>
      </c>
      <c r="L403">
        <v>6</v>
      </c>
      <c r="M403" t="s">
        <v>107</v>
      </c>
      <c r="N403">
        <v>1</v>
      </c>
      <c r="O403">
        <v>4.5999999999999996</v>
      </c>
      <c r="P403" t="s">
        <v>32</v>
      </c>
      <c r="Q403" t="s">
        <v>62</v>
      </c>
      <c r="R403" t="s">
        <v>67</v>
      </c>
      <c r="S403">
        <v>1</v>
      </c>
      <c r="T403">
        <v>2</v>
      </c>
      <c r="U403">
        <v>1</v>
      </c>
      <c r="V403" t="s">
        <v>46</v>
      </c>
      <c r="W403" t="s">
        <v>36</v>
      </c>
      <c r="X403" t="s">
        <v>63</v>
      </c>
      <c r="Y403" t="s">
        <v>62</v>
      </c>
      <c r="Z403">
        <v>4.3</v>
      </c>
    </row>
    <row r="404" spans="1:26" x14ac:dyDescent="0.3">
      <c r="A404" t="s">
        <v>525</v>
      </c>
      <c r="B404" s="1">
        <v>46119</v>
      </c>
      <c r="C404" s="1">
        <v>46119</v>
      </c>
      <c r="D404" s="1">
        <v>46123</v>
      </c>
      <c r="E404" t="s">
        <v>72</v>
      </c>
      <c r="F404" t="s">
        <v>73</v>
      </c>
      <c r="G404" t="s">
        <v>74</v>
      </c>
      <c r="H404">
        <v>1432</v>
      </c>
      <c r="I404" t="s">
        <v>60</v>
      </c>
      <c r="J404">
        <v>10</v>
      </c>
      <c r="K404">
        <v>10024</v>
      </c>
      <c r="L404">
        <v>6</v>
      </c>
      <c r="M404" t="s">
        <v>103</v>
      </c>
      <c r="N404">
        <v>6</v>
      </c>
      <c r="O404">
        <v>3.1</v>
      </c>
      <c r="P404" t="s">
        <v>45</v>
      </c>
      <c r="Q404" t="s">
        <v>33</v>
      </c>
      <c r="R404" t="s">
        <v>34</v>
      </c>
      <c r="S404">
        <v>3</v>
      </c>
      <c r="T404">
        <v>4</v>
      </c>
      <c r="U404">
        <v>1</v>
      </c>
      <c r="V404" t="s">
        <v>46</v>
      </c>
      <c r="W404" t="s">
        <v>55</v>
      </c>
      <c r="X404" t="s">
        <v>76</v>
      </c>
      <c r="Y404" t="s">
        <v>38</v>
      </c>
      <c r="Z404">
        <v>4</v>
      </c>
    </row>
    <row r="405" spans="1:26" x14ac:dyDescent="0.3">
      <c r="A405" t="s">
        <v>526</v>
      </c>
      <c r="B405" s="1">
        <v>46031</v>
      </c>
      <c r="C405" s="1">
        <v>46031</v>
      </c>
      <c r="D405" s="1">
        <v>46035</v>
      </c>
      <c r="E405" t="s">
        <v>27</v>
      </c>
      <c r="F405" t="s">
        <v>28</v>
      </c>
      <c r="G405" t="s">
        <v>29</v>
      </c>
      <c r="H405">
        <v>1283</v>
      </c>
      <c r="I405" t="s">
        <v>60</v>
      </c>
      <c r="J405">
        <v>4</v>
      </c>
      <c r="K405">
        <v>10264</v>
      </c>
      <c r="L405">
        <v>6</v>
      </c>
      <c r="M405" t="s">
        <v>190</v>
      </c>
      <c r="N405">
        <v>9</v>
      </c>
      <c r="O405">
        <v>3</v>
      </c>
      <c r="P405" t="s">
        <v>32</v>
      </c>
      <c r="Q405" t="s">
        <v>38</v>
      </c>
      <c r="R405" t="s">
        <v>54</v>
      </c>
      <c r="S405">
        <v>2</v>
      </c>
      <c r="T405">
        <v>4</v>
      </c>
      <c r="U405">
        <v>2</v>
      </c>
      <c r="V405" t="s">
        <v>46</v>
      </c>
      <c r="W405" t="s">
        <v>68</v>
      </c>
      <c r="X405" t="s">
        <v>47</v>
      </c>
      <c r="Y405" t="s">
        <v>33</v>
      </c>
      <c r="Z405">
        <v>4.2</v>
      </c>
    </row>
    <row r="406" spans="1:26" x14ac:dyDescent="0.3">
      <c r="A406" t="s">
        <v>527</v>
      </c>
      <c r="B406" s="1">
        <v>46079</v>
      </c>
      <c r="C406" s="1">
        <v>46081</v>
      </c>
      <c r="D406" s="1">
        <v>46082</v>
      </c>
      <c r="E406" t="s">
        <v>72</v>
      </c>
      <c r="F406" t="s">
        <v>73</v>
      </c>
      <c r="G406" t="s">
        <v>74</v>
      </c>
      <c r="H406">
        <v>570</v>
      </c>
      <c r="I406" t="s">
        <v>30</v>
      </c>
      <c r="J406">
        <v>7</v>
      </c>
      <c r="K406">
        <v>5130</v>
      </c>
      <c r="L406">
        <v>6</v>
      </c>
      <c r="M406" t="s">
        <v>186</v>
      </c>
      <c r="N406">
        <v>4</v>
      </c>
      <c r="O406">
        <v>3.8</v>
      </c>
      <c r="P406" t="s">
        <v>66</v>
      </c>
      <c r="Q406" t="s">
        <v>38</v>
      </c>
      <c r="R406" t="s">
        <v>34</v>
      </c>
      <c r="S406">
        <v>1</v>
      </c>
      <c r="T406">
        <v>1</v>
      </c>
      <c r="U406">
        <v>0</v>
      </c>
      <c r="V406" t="s">
        <v>35</v>
      </c>
      <c r="W406" t="s">
        <v>68</v>
      </c>
      <c r="X406" t="s">
        <v>47</v>
      </c>
      <c r="Y406" t="s">
        <v>33</v>
      </c>
      <c r="Z406">
        <v>3.6</v>
      </c>
    </row>
    <row r="407" spans="1:26" x14ac:dyDescent="0.3">
      <c r="A407" t="s">
        <v>528</v>
      </c>
      <c r="B407" s="1">
        <v>46115</v>
      </c>
      <c r="C407" s="1">
        <v>46115</v>
      </c>
      <c r="D407" s="1">
        <v>46118</v>
      </c>
      <c r="E407" t="s">
        <v>72</v>
      </c>
      <c r="F407" t="s">
        <v>73</v>
      </c>
      <c r="G407" t="s">
        <v>74</v>
      </c>
      <c r="H407">
        <v>871</v>
      </c>
      <c r="I407" t="s">
        <v>43</v>
      </c>
      <c r="J407">
        <v>2</v>
      </c>
      <c r="K407">
        <v>7839</v>
      </c>
      <c r="L407">
        <v>7</v>
      </c>
      <c r="M407" t="s">
        <v>61</v>
      </c>
      <c r="N407">
        <v>10</v>
      </c>
      <c r="O407">
        <v>4.5</v>
      </c>
      <c r="P407" t="s">
        <v>53</v>
      </c>
      <c r="Q407" t="s">
        <v>38</v>
      </c>
      <c r="R407" t="s">
        <v>54</v>
      </c>
      <c r="S407">
        <v>1</v>
      </c>
      <c r="T407">
        <v>3</v>
      </c>
      <c r="U407">
        <v>2</v>
      </c>
      <c r="V407" t="s">
        <v>46</v>
      </c>
      <c r="W407" t="s">
        <v>68</v>
      </c>
      <c r="X407" t="s">
        <v>37</v>
      </c>
      <c r="Y407" t="s">
        <v>38</v>
      </c>
      <c r="Z407">
        <v>4.8</v>
      </c>
    </row>
    <row r="408" spans="1:26" x14ac:dyDescent="0.3">
      <c r="A408" t="s">
        <v>529</v>
      </c>
      <c r="B408" s="1">
        <v>46125</v>
      </c>
      <c r="C408" s="1">
        <v>46126</v>
      </c>
      <c r="D408" s="1">
        <v>46128</v>
      </c>
      <c r="E408" t="s">
        <v>49</v>
      </c>
      <c r="F408" t="s">
        <v>50</v>
      </c>
      <c r="G408" t="s">
        <v>51</v>
      </c>
      <c r="H408">
        <v>567</v>
      </c>
      <c r="I408" t="s">
        <v>87</v>
      </c>
      <c r="J408">
        <v>8</v>
      </c>
      <c r="K408">
        <v>6237</v>
      </c>
      <c r="L408">
        <v>5</v>
      </c>
      <c r="M408" t="s">
        <v>205</v>
      </c>
      <c r="N408">
        <v>8</v>
      </c>
      <c r="O408">
        <v>4</v>
      </c>
      <c r="P408" t="s">
        <v>32</v>
      </c>
      <c r="Q408" t="s">
        <v>38</v>
      </c>
      <c r="R408" t="s">
        <v>67</v>
      </c>
      <c r="S408">
        <v>1</v>
      </c>
      <c r="T408">
        <v>2</v>
      </c>
      <c r="U408">
        <v>1</v>
      </c>
      <c r="V408" t="s">
        <v>46</v>
      </c>
      <c r="W408" t="s">
        <v>68</v>
      </c>
      <c r="X408" t="s">
        <v>76</v>
      </c>
      <c r="Y408" t="s">
        <v>38</v>
      </c>
      <c r="Z408">
        <v>4.5</v>
      </c>
    </row>
    <row r="409" spans="1:26" x14ac:dyDescent="0.3">
      <c r="A409" t="s">
        <v>530</v>
      </c>
      <c r="B409" s="1">
        <v>46137</v>
      </c>
      <c r="C409" s="1">
        <v>46137</v>
      </c>
      <c r="D409" s="1">
        <v>46143</v>
      </c>
      <c r="E409" t="s">
        <v>72</v>
      </c>
      <c r="F409" t="s">
        <v>73</v>
      </c>
      <c r="G409" t="s">
        <v>74</v>
      </c>
      <c r="H409">
        <v>944</v>
      </c>
      <c r="I409" t="s">
        <v>60</v>
      </c>
      <c r="J409">
        <v>6</v>
      </c>
      <c r="K409">
        <v>6608</v>
      </c>
      <c r="L409">
        <v>9</v>
      </c>
      <c r="M409" t="s">
        <v>205</v>
      </c>
      <c r="N409">
        <v>2</v>
      </c>
      <c r="O409">
        <v>3.5</v>
      </c>
      <c r="P409" t="s">
        <v>53</v>
      </c>
      <c r="Q409" t="s">
        <v>33</v>
      </c>
      <c r="R409" t="s">
        <v>34</v>
      </c>
      <c r="S409">
        <v>2</v>
      </c>
      <c r="T409">
        <v>6</v>
      </c>
      <c r="U409">
        <v>4</v>
      </c>
      <c r="V409" t="s">
        <v>46</v>
      </c>
      <c r="W409" t="s">
        <v>55</v>
      </c>
      <c r="X409" t="s">
        <v>47</v>
      </c>
      <c r="Y409" t="s">
        <v>33</v>
      </c>
      <c r="Z409">
        <v>4.9000000000000004</v>
      </c>
    </row>
    <row r="410" spans="1:26" x14ac:dyDescent="0.3">
      <c r="A410" t="s">
        <v>531</v>
      </c>
      <c r="B410" s="1">
        <v>46068</v>
      </c>
      <c r="C410" s="1">
        <v>46069</v>
      </c>
      <c r="D410" s="1">
        <v>46071</v>
      </c>
      <c r="E410" t="s">
        <v>111</v>
      </c>
      <c r="F410" t="s">
        <v>27</v>
      </c>
      <c r="G410" t="s">
        <v>112</v>
      </c>
      <c r="H410">
        <v>1192</v>
      </c>
      <c r="I410" t="s">
        <v>30</v>
      </c>
      <c r="J410">
        <v>3</v>
      </c>
      <c r="K410">
        <v>14304</v>
      </c>
      <c r="L410">
        <v>8</v>
      </c>
      <c r="M410" t="s">
        <v>107</v>
      </c>
      <c r="N410">
        <v>2</v>
      </c>
      <c r="O410">
        <v>3.5</v>
      </c>
      <c r="P410" t="s">
        <v>53</v>
      </c>
      <c r="Q410" t="s">
        <v>38</v>
      </c>
      <c r="R410" t="s">
        <v>54</v>
      </c>
      <c r="S410">
        <v>2</v>
      </c>
      <c r="T410">
        <v>2</v>
      </c>
      <c r="U410">
        <v>0</v>
      </c>
      <c r="V410" t="s">
        <v>35</v>
      </c>
      <c r="W410" t="s">
        <v>36</v>
      </c>
      <c r="X410" t="s">
        <v>63</v>
      </c>
      <c r="Y410" t="s">
        <v>38</v>
      </c>
      <c r="Z410">
        <v>4</v>
      </c>
    </row>
    <row r="411" spans="1:26" x14ac:dyDescent="0.3">
      <c r="A411" t="s">
        <v>532</v>
      </c>
      <c r="B411" s="1">
        <v>46026</v>
      </c>
      <c r="C411" s="1">
        <v>46026</v>
      </c>
      <c r="D411" s="1">
        <v>46031</v>
      </c>
      <c r="E411" t="s">
        <v>111</v>
      </c>
      <c r="F411" t="s">
        <v>27</v>
      </c>
      <c r="G411" t="s">
        <v>112</v>
      </c>
      <c r="H411">
        <v>1438</v>
      </c>
      <c r="I411" t="s">
        <v>30</v>
      </c>
      <c r="J411">
        <v>3</v>
      </c>
      <c r="K411">
        <v>11504</v>
      </c>
      <c r="L411">
        <v>9</v>
      </c>
      <c r="M411" t="s">
        <v>139</v>
      </c>
      <c r="N411">
        <v>2</v>
      </c>
      <c r="O411">
        <v>4.5</v>
      </c>
      <c r="P411" t="s">
        <v>53</v>
      </c>
      <c r="Q411" t="s">
        <v>62</v>
      </c>
      <c r="R411" t="s">
        <v>67</v>
      </c>
      <c r="S411">
        <v>3</v>
      </c>
      <c r="T411">
        <v>5</v>
      </c>
      <c r="U411">
        <v>2</v>
      </c>
      <c r="V411" t="s">
        <v>46</v>
      </c>
      <c r="W411" t="s">
        <v>68</v>
      </c>
      <c r="X411" t="s">
        <v>95</v>
      </c>
      <c r="Y411" t="s">
        <v>33</v>
      </c>
      <c r="Z411">
        <v>3.5</v>
      </c>
    </row>
    <row r="412" spans="1:26" x14ac:dyDescent="0.3">
      <c r="A412" t="s">
        <v>533</v>
      </c>
      <c r="B412" s="1">
        <v>46066</v>
      </c>
      <c r="C412" s="1">
        <v>46068</v>
      </c>
      <c r="D412" s="1">
        <v>46071</v>
      </c>
      <c r="E412" t="s">
        <v>27</v>
      </c>
      <c r="F412" t="s">
        <v>28</v>
      </c>
      <c r="G412" t="s">
        <v>29</v>
      </c>
      <c r="H412">
        <v>1764</v>
      </c>
      <c r="I412" t="s">
        <v>87</v>
      </c>
      <c r="J412">
        <v>7</v>
      </c>
      <c r="K412">
        <v>10584</v>
      </c>
      <c r="L412">
        <v>8</v>
      </c>
      <c r="M412" t="s">
        <v>128</v>
      </c>
      <c r="N412">
        <v>6</v>
      </c>
      <c r="O412">
        <v>4.7</v>
      </c>
      <c r="P412" t="s">
        <v>53</v>
      </c>
      <c r="Q412" t="s">
        <v>62</v>
      </c>
      <c r="R412" t="s">
        <v>67</v>
      </c>
      <c r="S412">
        <v>3</v>
      </c>
      <c r="T412">
        <v>3</v>
      </c>
      <c r="U412">
        <v>0</v>
      </c>
      <c r="V412" t="s">
        <v>35</v>
      </c>
      <c r="W412" t="s">
        <v>55</v>
      </c>
      <c r="X412" t="s">
        <v>47</v>
      </c>
      <c r="Y412" t="s">
        <v>33</v>
      </c>
      <c r="Z412">
        <v>3.3</v>
      </c>
    </row>
    <row r="413" spans="1:26" x14ac:dyDescent="0.3">
      <c r="A413" t="s">
        <v>534</v>
      </c>
      <c r="B413" s="1">
        <v>46078</v>
      </c>
      <c r="C413" s="1">
        <v>46078</v>
      </c>
      <c r="D413" s="1">
        <v>46081</v>
      </c>
      <c r="E413" t="s">
        <v>57</v>
      </c>
      <c r="F413" t="s">
        <v>58</v>
      </c>
      <c r="G413" t="s">
        <v>59</v>
      </c>
      <c r="H413">
        <v>1665</v>
      </c>
      <c r="I413" t="s">
        <v>43</v>
      </c>
      <c r="J413">
        <v>8</v>
      </c>
      <c r="K413">
        <v>19980</v>
      </c>
      <c r="L413">
        <v>5</v>
      </c>
      <c r="M413" t="s">
        <v>105</v>
      </c>
      <c r="N413">
        <v>11</v>
      </c>
      <c r="O413">
        <v>4</v>
      </c>
      <c r="P413" t="s">
        <v>53</v>
      </c>
      <c r="Q413" t="s">
        <v>62</v>
      </c>
      <c r="R413" t="s">
        <v>54</v>
      </c>
      <c r="S413">
        <v>3</v>
      </c>
      <c r="T413">
        <v>3</v>
      </c>
      <c r="U413">
        <v>0</v>
      </c>
      <c r="V413" t="s">
        <v>35</v>
      </c>
      <c r="W413" t="s">
        <v>68</v>
      </c>
      <c r="X413" t="s">
        <v>47</v>
      </c>
      <c r="Y413" t="s">
        <v>62</v>
      </c>
      <c r="Z413">
        <v>4.2</v>
      </c>
    </row>
    <row r="414" spans="1:26" x14ac:dyDescent="0.3">
      <c r="A414" t="s">
        <v>535</v>
      </c>
      <c r="B414" s="1">
        <v>46071</v>
      </c>
      <c r="C414" s="1">
        <v>46073</v>
      </c>
      <c r="D414" s="1">
        <v>46076</v>
      </c>
      <c r="E414" t="s">
        <v>49</v>
      </c>
      <c r="F414" t="s">
        <v>50</v>
      </c>
      <c r="G414" t="s">
        <v>51</v>
      </c>
      <c r="H414">
        <v>1769</v>
      </c>
      <c r="I414" t="s">
        <v>30</v>
      </c>
      <c r="J414">
        <v>6</v>
      </c>
      <c r="K414">
        <v>10614</v>
      </c>
      <c r="L414">
        <v>5</v>
      </c>
      <c r="M414" t="s">
        <v>145</v>
      </c>
      <c r="N414">
        <v>1</v>
      </c>
      <c r="O414">
        <v>3.3</v>
      </c>
      <c r="P414" t="s">
        <v>66</v>
      </c>
      <c r="Q414" t="s">
        <v>62</v>
      </c>
      <c r="R414" t="s">
        <v>54</v>
      </c>
      <c r="S414">
        <v>3</v>
      </c>
      <c r="T414">
        <v>3</v>
      </c>
      <c r="U414">
        <v>0</v>
      </c>
      <c r="V414" t="s">
        <v>35</v>
      </c>
      <c r="W414" t="s">
        <v>55</v>
      </c>
      <c r="X414" t="s">
        <v>47</v>
      </c>
      <c r="Y414" t="s">
        <v>62</v>
      </c>
      <c r="Z414">
        <v>3.2</v>
      </c>
    </row>
    <row r="415" spans="1:26" x14ac:dyDescent="0.3">
      <c r="A415" t="s">
        <v>536</v>
      </c>
      <c r="B415" s="1">
        <v>46067</v>
      </c>
      <c r="C415" s="1">
        <v>46068</v>
      </c>
      <c r="D415" s="1">
        <v>46071</v>
      </c>
      <c r="E415" t="s">
        <v>111</v>
      </c>
      <c r="F415" t="s">
        <v>27</v>
      </c>
      <c r="G415" t="s">
        <v>112</v>
      </c>
      <c r="H415">
        <v>919</v>
      </c>
      <c r="I415" t="s">
        <v>87</v>
      </c>
      <c r="J415">
        <v>4</v>
      </c>
      <c r="K415">
        <v>6433</v>
      </c>
      <c r="L415">
        <v>6</v>
      </c>
      <c r="M415" t="s">
        <v>97</v>
      </c>
      <c r="N415">
        <v>5</v>
      </c>
      <c r="O415">
        <v>4.2</v>
      </c>
      <c r="P415" t="s">
        <v>32</v>
      </c>
      <c r="Q415" t="s">
        <v>62</v>
      </c>
      <c r="R415" t="s">
        <v>67</v>
      </c>
      <c r="S415">
        <v>2</v>
      </c>
      <c r="T415">
        <v>3</v>
      </c>
      <c r="U415">
        <v>1</v>
      </c>
      <c r="V415" t="s">
        <v>46</v>
      </c>
      <c r="W415" t="s">
        <v>36</v>
      </c>
      <c r="X415" t="s">
        <v>63</v>
      </c>
      <c r="Y415" t="s">
        <v>33</v>
      </c>
      <c r="Z415">
        <v>3.7</v>
      </c>
    </row>
    <row r="416" spans="1:26" x14ac:dyDescent="0.3">
      <c r="A416" t="s">
        <v>537</v>
      </c>
      <c r="B416" s="1">
        <v>46081</v>
      </c>
      <c r="C416" s="1">
        <v>46083</v>
      </c>
      <c r="D416" s="1">
        <v>46088</v>
      </c>
      <c r="E416" t="s">
        <v>111</v>
      </c>
      <c r="F416" t="s">
        <v>27</v>
      </c>
      <c r="G416" t="s">
        <v>112</v>
      </c>
      <c r="H416">
        <v>1363</v>
      </c>
      <c r="I416" t="s">
        <v>43</v>
      </c>
      <c r="J416">
        <v>5</v>
      </c>
      <c r="K416">
        <v>8178</v>
      </c>
      <c r="L416">
        <v>10</v>
      </c>
      <c r="M416" t="s">
        <v>116</v>
      </c>
      <c r="N416">
        <v>10</v>
      </c>
      <c r="O416">
        <v>3</v>
      </c>
      <c r="P416" t="s">
        <v>66</v>
      </c>
      <c r="Q416" t="s">
        <v>62</v>
      </c>
      <c r="R416" t="s">
        <v>54</v>
      </c>
      <c r="S416">
        <v>3</v>
      </c>
      <c r="T416">
        <v>5</v>
      </c>
      <c r="U416">
        <v>2</v>
      </c>
      <c r="V416" t="s">
        <v>46</v>
      </c>
      <c r="W416" t="s">
        <v>55</v>
      </c>
      <c r="X416" t="s">
        <v>63</v>
      </c>
      <c r="Y416" t="s">
        <v>62</v>
      </c>
      <c r="Z416">
        <v>3.2</v>
      </c>
    </row>
    <row r="417" spans="1:26" x14ac:dyDescent="0.3">
      <c r="A417" t="s">
        <v>538</v>
      </c>
      <c r="B417" s="1">
        <v>46109</v>
      </c>
      <c r="C417" s="1">
        <v>46109</v>
      </c>
      <c r="D417" s="1">
        <v>46113</v>
      </c>
      <c r="E417" t="s">
        <v>49</v>
      </c>
      <c r="F417" t="s">
        <v>50</v>
      </c>
      <c r="G417" t="s">
        <v>51</v>
      </c>
      <c r="H417">
        <v>1217</v>
      </c>
      <c r="I417" t="s">
        <v>30</v>
      </c>
      <c r="J417">
        <v>3</v>
      </c>
      <c r="K417">
        <v>12170</v>
      </c>
      <c r="L417">
        <v>7</v>
      </c>
      <c r="M417" t="s">
        <v>80</v>
      </c>
      <c r="N417">
        <v>7</v>
      </c>
      <c r="O417">
        <v>3.4</v>
      </c>
      <c r="P417" t="s">
        <v>32</v>
      </c>
      <c r="Q417" t="s">
        <v>33</v>
      </c>
      <c r="R417" t="s">
        <v>67</v>
      </c>
      <c r="S417">
        <v>2</v>
      </c>
      <c r="T417">
        <v>4</v>
      </c>
      <c r="U417">
        <v>2</v>
      </c>
      <c r="V417" t="s">
        <v>46</v>
      </c>
      <c r="W417" t="s">
        <v>36</v>
      </c>
      <c r="X417" t="s">
        <v>47</v>
      </c>
      <c r="Y417" t="s">
        <v>33</v>
      </c>
      <c r="Z417">
        <v>3.8</v>
      </c>
    </row>
    <row r="418" spans="1:26" x14ac:dyDescent="0.3">
      <c r="A418" t="s">
        <v>539</v>
      </c>
      <c r="B418" s="1">
        <v>46051</v>
      </c>
      <c r="C418" s="1">
        <v>46053</v>
      </c>
      <c r="D418" s="1">
        <v>46056</v>
      </c>
      <c r="E418" t="s">
        <v>72</v>
      </c>
      <c r="F418" t="s">
        <v>73</v>
      </c>
      <c r="G418" t="s">
        <v>74</v>
      </c>
      <c r="H418">
        <v>1669</v>
      </c>
      <c r="I418" t="s">
        <v>87</v>
      </c>
      <c r="J418">
        <v>10</v>
      </c>
      <c r="K418">
        <v>13352</v>
      </c>
      <c r="L418">
        <v>7</v>
      </c>
      <c r="M418" t="s">
        <v>165</v>
      </c>
      <c r="N418">
        <v>10</v>
      </c>
      <c r="O418">
        <v>4.5999999999999996</v>
      </c>
      <c r="P418" t="s">
        <v>53</v>
      </c>
      <c r="Q418" t="s">
        <v>62</v>
      </c>
      <c r="R418" t="s">
        <v>67</v>
      </c>
      <c r="S418">
        <v>3</v>
      </c>
      <c r="T418">
        <v>3</v>
      </c>
      <c r="U418">
        <v>0</v>
      </c>
      <c r="V418" t="s">
        <v>35</v>
      </c>
      <c r="W418" t="s">
        <v>55</v>
      </c>
      <c r="X418" t="s">
        <v>47</v>
      </c>
      <c r="Y418" t="s">
        <v>33</v>
      </c>
      <c r="Z418">
        <v>4.5999999999999996</v>
      </c>
    </row>
    <row r="419" spans="1:26" x14ac:dyDescent="0.3">
      <c r="A419" t="s">
        <v>540</v>
      </c>
      <c r="B419" s="1">
        <v>46078</v>
      </c>
      <c r="C419" s="1">
        <v>46080</v>
      </c>
      <c r="D419" s="1">
        <v>46085</v>
      </c>
      <c r="E419" t="s">
        <v>49</v>
      </c>
      <c r="F419" t="s">
        <v>50</v>
      </c>
      <c r="G419" t="s">
        <v>51</v>
      </c>
      <c r="H419">
        <v>609</v>
      </c>
      <c r="I419" t="s">
        <v>43</v>
      </c>
      <c r="J419">
        <v>7</v>
      </c>
      <c r="K419">
        <v>4872</v>
      </c>
      <c r="L419">
        <v>9</v>
      </c>
      <c r="M419" t="s">
        <v>186</v>
      </c>
      <c r="N419">
        <v>8</v>
      </c>
      <c r="O419">
        <v>4.3</v>
      </c>
      <c r="P419" t="s">
        <v>45</v>
      </c>
      <c r="Q419" t="s">
        <v>38</v>
      </c>
      <c r="R419" t="s">
        <v>54</v>
      </c>
      <c r="S419">
        <v>1</v>
      </c>
      <c r="T419">
        <v>5</v>
      </c>
      <c r="U419">
        <v>4</v>
      </c>
      <c r="V419" t="s">
        <v>46</v>
      </c>
      <c r="W419" t="s">
        <v>36</v>
      </c>
      <c r="X419" t="s">
        <v>76</v>
      </c>
      <c r="Y419" t="s">
        <v>62</v>
      </c>
      <c r="Z419">
        <v>3.4</v>
      </c>
    </row>
    <row r="420" spans="1:26" x14ac:dyDescent="0.3">
      <c r="A420" t="s">
        <v>541</v>
      </c>
      <c r="B420" s="1">
        <v>46128</v>
      </c>
      <c r="C420" s="1">
        <v>46130</v>
      </c>
      <c r="D420" s="1">
        <v>46133</v>
      </c>
      <c r="E420" t="s">
        <v>92</v>
      </c>
      <c r="F420" t="s">
        <v>93</v>
      </c>
      <c r="G420" t="s">
        <v>94</v>
      </c>
      <c r="H420">
        <v>748</v>
      </c>
      <c r="I420" t="s">
        <v>43</v>
      </c>
      <c r="J420">
        <v>10</v>
      </c>
      <c r="K420">
        <v>8228</v>
      </c>
      <c r="L420">
        <v>10</v>
      </c>
      <c r="M420" t="s">
        <v>208</v>
      </c>
      <c r="N420">
        <v>9</v>
      </c>
      <c r="O420">
        <v>3.4</v>
      </c>
      <c r="P420" t="s">
        <v>53</v>
      </c>
      <c r="Q420" t="s">
        <v>38</v>
      </c>
      <c r="R420" t="s">
        <v>67</v>
      </c>
      <c r="S420">
        <v>1</v>
      </c>
      <c r="T420">
        <v>3</v>
      </c>
      <c r="U420">
        <v>2</v>
      </c>
      <c r="V420" t="s">
        <v>46</v>
      </c>
      <c r="W420" t="s">
        <v>55</v>
      </c>
      <c r="X420" t="s">
        <v>47</v>
      </c>
      <c r="Y420" t="s">
        <v>62</v>
      </c>
      <c r="Z420">
        <v>3.8</v>
      </c>
    </row>
    <row r="421" spans="1:26" x14ac:dyDescent="0.3">
      <c r="A421" t="s">
        <v>542</v>
      </c>
      <c r="B421" s="1">
        <v>46133</v>
      </c>
      <c r="C421" s="1">
        <v>46133</v>
      </c>
      <c r="D421" s="1">
        <v>46135</v>
      </c>
      <c r="E421" t="s">
        <v>40</v>
      </c>
      <c r="F421" t="s">
        <v>41</v>
      </c>
      <c r="G421" t="s">
        <v>42</v>
      </c>
      <c r="H421">
        <v>1044</v>
      </c>
      <c r="I421" t="s">
        <v>30</v>
      </c>
      <c r="J421">
        <v>5</v>
      </c>
      <c r="K421">
        <v>11484</v>
      </c>
      <c r="L421">
        <v>6</v>
      </c>
      <c r="M421" t="s">
        <v>243</v>
      </c>
      <c r="N421">
        <v>11</v>
      </c>
      <c r="O421">
        <v>4.2</v>
      </c>
      <c r="P421" t="s">
        <v>53</v>
      </c>
      <c r="Q421" t="s">
        <v>38</v>
      </c>
      <c r="R421" t="s">
        <v>67</v>
      </c>
      <c r="S421">
        <v>2</v>
      </c>
      <c r="T421">
        <v>2</v>
      </c>
      <c r="U421">
        <v>0</v>
      </c>
      <c r="V421" t="s">
        <v>35</v>
      </c>
      <c r="W421" t="s">
        <v>36</v>
      </c>
      <c r="X421" t="s">
        <v>37</v>
      </c>
      <c r="Y421" t="s">
        <v>62</v>
      </c>
      <c r="Z421">
        <v>3.9</v>
      </c>
    </row>
    <row r="422" spans="1:26" x14ac:dyDescent="0.3">
      <c r="A422" t="s">
        <v>543</v>
      </c>
      <c r="B422" s="1">
        <v>46094</v>
      </c>
      <c r="C422" s="1">
        <v>46095</v>
      </c>
      <c r="D422" s="1">
        <v>46098</v>
      </c>
      <c r="E422" t="s">
        <v>111</v>
      </c>
      <c r="F422" t="s">
        <v>27</v>
      </c>
      <c r="G422" t="s">
        <v>112</v>
      </c>
      <c r="H422">
        <v>1524</v>
      </c>
      <c r="I422" t="s">
        <v>87</v>
      </c>
      <c r="J422">
        <v>4</v>
      </c>
      <c r="K422">
        <v>10668</v>
      </c>
      <c r="L422">
        <v>7</v>
      </c>
      <c r="M422" t="s">
        <v>147</v>
      </c>
      <c r="N422">
        <v>1</v>
      </c>
      <c r="O422">
        <v>3.5</v>
      </c>
      <c r="P422" t="s">
        <v>66</v>
      </c>
      <c r="Q422" t="s">
        <v>33</v>
      </c>
      <c r="R422" t="s">
        <v>54</v>
      </c>
      <c r="S422">
        <v>3</v>
      </c>
      <c r="T422">
        <v>3</v>
      </c>
      <c r="U422">
        <v>0</v>
      </c>
      <c r="V422" t="s">
        <v>35</v>
      </c>
      <c r="W422" t="s">
        <v>55</v>
      </c>
      <c r="X422" t="s">
        <v>95</v>
      </c>
      <c r="Y422" t="s">
        <v>38</v>
      </c>
      <c r="Z422">
        <v>3.1</v>
      </c>
    </row>
    <row r="423" spans="1:26" x14ac:dyDescent="0.3">
      <c r="A423" t="s">
        <v>544</v>
      </c>
      <c r="B423" s="1">
        <v>46137</v>
      </c>
      <c r="C423" s="1">
        <v>46137</v>
      </c>
      <c r="D423" s="1">
        <v>46142</v>
      </c>
      <c r="E423" t="s">
        <v>49</v>
      </c>
      <c r="F423" t="s">
        <v>50</v>
      </c>
      <c r="G423" t="s">
        <v>51</v>
      </c>
      <c r="H423">
        <v>1432</v>
      </c>
      <c r="I423" t="s">
        <v>30</v>
      </c>
      <c r="J423">
        <v>2</v>
      </c>
      <c r="K423">
        <v>12888</v>
      </c>
      <c r="L423">
        <v>7</v>
      </c>
      <c r="M423" t="s">
        <v>103</v>
      </c>
      <c r="N423">
        <v>11</v>
      </c>
      <c r="O423">
        <v>4.8</v>
      </c>
      <c r="P423" t="s">
        <v>53</v>
      </c>
      <c r="Q423" t="s">
        <v>33</v>
      </c>
      <c r="R423" t="s">
        <v>67</v>
      </c>
      <c r="S423">
        <v>3</v>
      </c>
      <c r="T423">
        <v>5</v>
      </c>
      <c r="U423">
        <v>2</v>
      </c>
      <c r="V423" t="s">
        <v>46</v>
      </c>
      <c r="W423" t="s">
        <v>55</v>
      </c>
      <c r="X423" t="s">
        <v>76</v>
      </c>
      <c r="Y423" t="s">
        <v>38</v>
      </c>
      <c r="Z423">
        <v>4</v>
      </c>
    </row>
    <row r="424" spans="1:26" x14ac:dyDescent="0.3">
      <c r="A424" t="s">
        <v>545</v>
      </c>
      <c r="B424" s="1">
        <v>46129</v>
      </c>
      <c r="C424" s="1">
        <v>46131</v>
      </c>
      <c r="D424" s="1">
        <v>46134</v>
      </c>
      <c r="E424" t="s">
        <v>57</v>
      </c>
      <c r="F424" t="s">
        <v>58</v>
      </c>
      <c r="G424" t="s">
        <v>59</v>
      </c>
      <c r="H424">
        <v>1216</v>
      </c>
      <c r="I424" t="s">
        <v>87</v>
      </c>
      <c r="J424">
        <v>4</v>
      </c>
      <c r="K424">
        <v>12160</v>
      </c>
      <c r="L424">
        <v>5</v>
      </c>
      <c r="M424" t="s">
        <v>170</v>
      </c>
      <c r="N424">
        <v>13</v>
      </c>
      <c r="O424">
        <v>3.6</v>
      </c>
      <c r="P424" t="s">
        <v>53</v>
      </c>
      <c r="Q424" t="s">
        <v>33</v>
      </c>
      <c r="R424" t="s">
        <v>54</v>
      </c>
      <c r="S424">
        <v>2</v>
      </c>
      <c r="T424">
        <v>3</v>
      </c>
      <c r="U424">
        <v>1</v>
      </c>
      <c r="V424" t="s">
        <v>46</v>
      </c>
      <c r="W424" t="s">
        <v>36</v>
      </c>
      <c r="X424" t="s">
        <v>63</v>
      </c>
      <c r="Y424" t="s">
        <v>38</v>
      </c>
      <c r="Z424">
        <v>3.4</v>
      </c>
    </row>
    <row r="425" spans="1:26" x14ac:dyDescent="0.3">
      <c r="A425" t="s">
        <v>546</v>
      </c>
      <c r="B425" s="1">
        <v>46058</v>
      </c>
      <c r="C425" s="1">
        <v>46059</v>
      </c>
      <c r="D425" s="1">
        <v>46062</v>
      </c>
      <c r="E425" t="s">
        <v>111</v>
      </c>
      <c r="F425" t="s">
        <v>27</v>
      </c>
      <c r="G425" t="s">
        <v>112</v>
      </c>
      <c r="H425">
        <v>720</v>
      </c>
      <c r="I425" t="s">
        <v>87</v>
      </c>
      <c r="J425">
        <v>8</v>
      </c>
      <c r="K425">
        <v>7200</v>
      </c>
      <c r="L425">
        <v>7</v>
      </c>
      <c r="M425" t="s">
        <v>65</v>
      </c>
      <c r="N425">
        <v>2</v>
      </c>
      <c r="O425">
        <v>3.6</v>
      </c>
      <c r="P425" t="s">
        <v>53</v>
      </c>
      <c r="Q425" t="s">
        <v>62</v>
      </c>
      <c r="R425" t="s">
        <v>54</v>
      </c>
      <c r="S425">
        <v>1</v>
      </c>
      <c r="T425">
        <v>3</v>
      </c>
      <c r="U425">
        <v>2</v>
      </c>
      <c r="V425" t="s">
        <v>46</v>
      </c>
      <c r="W425" t="s">
        <v>36</v>
      </c>
      <c r="X425" t="s">
        <v>47</v>
      </c>
      <c r="Y425" t="s">
        <v>62</v>
      </c>
      <c r="Z425">
        <v>4.4000000000000004</v>
      </c>
    </row>
    <row r="426" spans="1:26" x14ac:dyDescent="0.3">
      <c r="A426" t="s">
        <v>547</v>
      </c>
      <c r="B426" s="1">
        <v>46128</v>
      </c>
      <c r="C426" s="1">
        <v>46129</v>
      </c>
      <c r="D426" s="1">
        <v>46132</v>
      </c>
      <c r="E426" t="s">
        <v>27</v>
      </c>
      <c r="F426" t="s">
        <v>28</v>
      </c>
      <c r="G426" t="s">
        <v>29</v>
      </c>
      <c r="H426">
        <v>1521</v>
      </c>
      <c r="I426" t="s">
        <v>87</v>
      </c>
      <c r="J426">
        <v>1</v>
      </c>
      <c r="K426">
        <v>16731</v>
      </c>
      <c r="L426">
        <v>10</v>
      </c>
      <c r="M426" t="s">
        <v>125</v>
      </c>
      <c r="N426">
        <v>5</v>
      </c>
      <c r="O426">
        <v>4.0999999999999996</v>
      </c>
      <c r="P426" t="s">
        <v>66</v>
      </c>
      <c r="Q426" t="s">
        <v>33</v>
      </c>
      <c r="R426" t="s">
        <v>54</v>
      </c>
      <c r="S426">
        <v>3</v>
      </c>
      <c r="T426">
        <v>3</v>
      </c>
      <c r="U426">
        <v>0</v>
      </c>
      <c r="V426" t="s">
        <v>35</v>
      </c>
      <c r="W426" t="s">
        <v>55</v>
      </c>
      <c r="X426" t="s">
        <v>37</v>
      </c>
      <c r="Y426" t="s">
        <v>62</v>
      </c>
      <c r="Z426">
        <v>3.8</v>
      </c>
    </row>
    <row r="427" spans="1:26" x14ac:dyDescent="0.3">
      <c r="A427" t="s">
        <v>548</v>
      </c>
      <c r="B427" s="1">
        <v>46139</v>
      </c>
      <c r="C427" s="1">
        <v>46140</v>
      </c>
      <c r="D427" s="1">
        <v>46141</v>
      </c>
      <c r="E427" t="s">
        <v>57</v>
      </c>
      <c r="F427" t="s">
        <v>58</v>
      </c>
      <c r="G427" t="s">
        <v>59</v>
      </c>
      <c r="H427">
        <v>816</v>
      </c>
      <c r="I427" t="s">
        <v>87</v>
      </c>
      <c r="J427">
        <v>4</v>
      </c>
      <c r="K427">
        <v>6528</v>
      </c>
      <c r="L427">
        <v>6</v>
      </c>
      <c r="M427" t="s">
        <v>101</v>
      </c>
      <c r="N427">
        <v>15</v>
      </c>
      <c r="O427">
        <v>3.9</v>
      </c>
      <c r="P427" t="s">
        <v>66</v>
      </c>
      <c r="Q427" t="s">
        <v>33</v>
      </c>
      <c r="R427" t="s">
        <v>34</v>
      </c>
      <c r="S427">
        <v>1</v>
      </c>
      <c r="T427">
        <v>1</v>
      </c>
      <c r="U427">
        <v>0</v>
      </c>
      <c r="V427" t="s">
        <v>35</v>
      </c>
      <c r="W427" t="s">
        <v>68</v>
      </c>
      <c r="X427" t="s">
        <v>95</v>
      </c>
      <c r="Y427" t="s">
        <v>33</v>
      </c>
      <c r="Z427">
        <v>3.8</v>
      </c>
    </row>
    <row r="428" spans="1:26" x14ac:dyDescent="0.3">
      <c r="A428" t="s">
        <v>549</v>
      </c>
      <c r="B428" s="1">
        <v>46130</v>
      </c>
      <c r="C428" s="1">
        <v>46131</v>
      </c>
      <c r="D428" s="1">
        <v>46132</v>
      </c>
      <c r="E428" t="s">
        <v>111</v>
      </c>
      <c r="F428" t="s">
        <v>27</v>
      </c>
      <c r="G428" t="s">
        <v>112</v>
      </c>
      <c r="H428">
        <v>405</v>
      </c>
      <c r="I428" t="s">
        <v>60</v>
      </c>
      <c r="J428">
        <v>5</v>
      </c>
      <c r="K428">
        <v>4050</v>
      </c>
      <c r="L428">
        <v>5</v>
      </c>
      <c r="M428" t="s">
        <v>178</v>
      </c>
      <c r="N428">
        <v>7</v>
      </c>
      <c r="O428">
        <v>4.2</v>
      </c>
      <c r="P428" t="s">
        <v>66</v>
      </c>
      <c r="Q428" t="s">
        <v>62</v>
      </c>
      <c r="R428" t="s">
        <v>54</v>
      </c>
      <c r="S428">
        <v>1</v>
      </c>
      <c r="T428">
        <v>1</v>
      </c>
      <c r="U428">
        <v>0</v>
      </c>
      <c r="V428" t="s">
        <v>35</v>
      </c>
      <c r="W428" t="s">
        <v>55</v>
      </c>
      <c r="X428" t="s">
        <v>37</v>
      </c>
      <c r="Y428" t="s">
        <v>33</v>
      </c>
      <c r="Z428">
        <v>3.9</v>
      </c>
    </row>
    <row r="429" spans="1:26" x14ac:dyDescent="0.3">
      <c r="A429" t="s">
        <v>550</v>
      </c>
      <c r="B429" s="1">
        <v>46105</v>
      </c>
      <c r="C429" s="1">
        <v>46105</v>
      </c>
      <c r="D429" s="1">
        <v>46110</v>
      </c>
      <c r="E429" t="s">
        <v>27</v>
      </c>
      <c r="F429" t="s">
        <v>28</v>
      </c>
      <c r="G429" t="s">
        <v>29</v>
      </c>
      <c r="H429">
        <v>1020</v>
      </c>
      <c r="I429" t="s">
        <v>60</v>
      </c>
      <c r="J429">
        <v>5</v>
      </c>
      <c r="K429">
        <v>8160</v>
      </c>
      <c r="L429">
        <v>9</v>
      </c>
      <c r="M429" t="s">
        <v>109</v>
      </c>
      <c r="N429">
        <v>2</v>
      </c>
      <c r="O429">
        <v>3.3</v>
      </c>
      <c r="P429" t="s">
        <v>45</v>
      </c>
      <c r="Q429" t="s">
        <v>33</v>
      </c>
      <c r="R429" t="s">
        <v>54</v>
      </c>
      <c r="S429">
        <v>2</v>
      </c>
      <c r="T429">
        <v>5</v>
      </c>
      <c r="U429">
        <v>3</v>
      </c>
      <c r="V429" t="s">
        <v>46</v>
      </c>
      <c r="W429" t="s">
        <v>68</v>
      </c>
      <c r="X429" t="s">
        <v>37</v>
      </c>
      <c r="Y429" t="s">
        <v>62</v>
      </c>
      <c r="Z429">
        <v>3.3</v>
      </c>
    </row>
    <row r="430" spans="1:26" x14ac:dyDescent="0.3">
      <c r="A430" t="s">
        <v>551</v>
      </c>
      <c r="B430" s="1">
        <v>46098</v>
      </c>
      <c r="C430" s="1">
        <v>46099</v>
      </c>
      <c r="D430" s="1">
        <v>46101</v>
      </c>
      <c r="E430" t="s">
        <v>57</v>
      </c>
      <c r="F430" t="s">
        <v>58</v>
      </c>
      <c r="G430" t="s">
        <v>59</v>
      </c>
      <c r="H430">
        <v>606</v>
      </c>
      <c r="I430" t="s">
        <v>87</v>
      </c>
      <c r="J430">
        <v>7</v>
      </c>
      <c r="K430">
        <v>4848</v>
      </c>
      <c r="L430">
        <v>6</v>
      </c>
      <c r="M430" t="s">
        <v>205</v>
      </c>
      <c r="N430">
        <v>15</v>
      </c>
      <c r="O430">
        <v>3.8</v>
      </c>
      <c r="P430" t="s">
        <v>45</v>
      </c>
      <c r="Q430" t="s">
        <v>38</v>
      </c>
      <c r="R430" t="s">
        <v>67</v>
      </c>
      <c r="S430">
        <v>1</v>
      </c>
      <c r="T430">
        <v>2</v>
      </c>
      <c r="U430">
        <v>1</v>
      </c>
      <c r="V430" t="s">
        <v>46</v>
      </c>
      <c r="W430" t="s">
        <v>36</v>
      </c>
      <c r="X430" t="s">
        <v>95</v>
      </c>
      <c r="Y430" t="s">
        <v>38</v>
      </c>
      <c r="Z430">
        <v>3.5</v>
      </c>
    </row>
    <row r="431" spans="1:26" x14ac:dyDescent="0.3">
      <c r="A431" t="s">
        <v>552</v>
      </c>
      <c r="B431" s="1">
        <v>46132</v>
      </c>
      <c r="C431" s="1">
        <v>46132</v>
      </c>
      <c r="D431" s="1">
        <v>46137</v>
      </c>
      <c r="E431" t="s">
        <v>27</v>
      </c>
      <c r="F431" t="s">
        <v>28</v>
      </c>
      <c r="G431" t="s">
        <v>29</v>
      </c>
      <c r="H431">
        <v>1021</v>
      </c>
      <c r="I431" t="s">
        <v>43</v>
      </c>
      <c r="J431">
        <v>10</v>
      </c>
      <c r="K431">
        <v>8168</v>
      </c>
      <c r="L431">
        <v>6</v>
      </c>
      <c r="M431" t="s">
        <v>109</v>
      </c>
      <c r="N431">
        <v>6</v>
      </c>
      <c r="O431">
        <v>3.3</v>
      </c>
      <c r="P431" t="s">
        <v>32</v>
      </c>
      <c r="Q431" t="s">
        <v>38</v>
      </c>
      <c r="R431" t="s">
        <v>54</v>
      </c>
      <c r="S431">
        <v>2</v>
      </c>
      <c r="T431">
        <v>5</v>
      </c>
      <c r="U431">
        <v>3</v>
      </c>
      <c r="V431" t="s">
        <v>46</v>
      </c>
      <c r="W431" t="s">
        <v>68</v>
      </c>
      <c r="X431" t="s">
        <v>95</v>
      </c>
      <c r="Y431" t="s">
        <v>38</v>
      </c>
      <c r="Z431">
        <v>3.4</v>
      </c>
    </row>
    <row r="432" spans="1:26" x14ac:dyDescent="0.3">
      <c r="A432" t="s">
        <v>553</v>
      </c>
      <c r="B432" s="1">
        <v>46049</v>
      </c>
      <c r="C432" s="1">
        <v>46049</v>
      </c>
      <c r="D432" s="1">
        <v>46051</v>
      </c>
      <c r="E432" t="s">
        <v>57</v>
      </c>
      <c r="F432" t="s">
        <v>58</v>
      </c>
      <c r="G432" t="s">
        <v>59</v>
      </c>
      <c r="H432">
        <v>789</v>
      </c>
      <c r="I432" t="s">
        <v>43</v>
      </c>
      <c r="J432">
        <v>7</v>
      </c>
      <c r="K432">
        <v>5523</v>
      </c>
      <c r="L432">
        <v>8</v>
      </c>
      <c r="M432" t="s">
        <v>90</v>
      </c>
      <c r="N432">
        <v>10</v>
      </c>
      <c r="O432">
        <v>3.4</v>
      </c>
      <c r="P432" t="s">
        <v>66</v>
      </c>
      <c r="Q432" t="s">
        <v>33</v>
      </c>
      <c r="R432" t="s">
        <v>54</v>
      </c>
      <c r="S432">
        <v>1</v>
      </c>
      <c r="T432">
        <v>2</v>
      </c>
      <c r="U432">
        <v>1</v>
      </c>
      <c r="V432" t="s">
        <v>46</v>
      </c>
      <c r="W432" t="s">
        <v>68</v>
      </c>
      <c r="X432" t="s">
        <v>37</v>
      </c>
      <c r="Y432" t="s">
        <v>38</v>
      </c>
      <c r="Z432">
        <v>3.6</v>
      </c>
    </row>
    <row r="433" spans="1:26" x14ac:dyDescent="0.3">
      <c r="A433" t="s">
        <v>554</v>
      </c>
      <c r="B433" s="1">
        <v>46056</v>
      </c>
      <c r="C433" s="1">
        <v>46056</v>
      </c>
      <c r="D433" s="1">
        <v>46058</v>
      </c>
      <c r="E433" t="s">
        <v>92</v>
      </c>
      <c r="F433" t="s">
        <v>93</v>
      </c>
      <c r="G433" t="s">
        <v>94</v>
      </c>
      <c r="H433">
        <v>708</v>
      </c>
      <c r="I433" t="s">
        <v>30</v>
      </c>
      <c r="J433">
        <v>10</v>
      </c>
      <c r="K433">
        <v>7788</v>
      </c>
      <c r="L433">
        <v>10</v>
      </c>
      <c r="M433" t="s">
        <v>61</v>
      </c>
      <c r="N433">
        <v>2</v>
      </c>
      <c r="O433">
        <v>3</v>
      </c>
      <c r="P433" t="s">
        <v>45</v>
      </c>
      <c r="Q433" t="s">
        <v>62</v>
      </c>
      <c r="R433" t="s">
        <v>54</v>
      </c>
      <c r="S433">
        <v>1</v>
      </c>
      <c r="T433">
        <v>2</v>
      </c>
      <c r="U433">
        <v>1</v>
      </c>
      <c r="V433" t="s">
        <v>46</v>
      </c>
      <c r="W433" t="s">
        <v>55</v>
      </c>
      <c r="X433" t="s">
        <v>95</v>
      </c>
      <c r="Y433" t="s">
        <v>33</v>
      </c>
      <c r="Z433">
        <v>3.8</v>
      </c>
    </row>
    <row r="434" spans="1:26" x14ac:dyDescent="0.3">
      <c r="A434" t="s">
        <v>555</v>
      </c>
      <c r="B434" s="1">
        <v>46099</v>
      </c>
      <c r="C434" s="1">
        <v>46100</v>
      </c>
      <c r="D434" s="1">
        <v>46102</v>
      </c>
      <c r="E434" t="s">
        <v>72</v>
      </c>
      <c r="F434" t="s">
        <v>73</v>
      </c>
      <c r="G434" t="s">
        <v>74</v>
      </c>
      <c r="H434">
        <v>395</v>
      </c>
      <c r="I434" t="s">
        <v>87</v>
      </c>
      <c r="J434">
        <v>1</v>
      </c>
      <c r="K434">
        <v>3160</v>
      </c>
      <c r="L434">
        <v>6</v>
      </c>
      <c r="M434" t="s">
        <v>116</v>
      </c>
      <c r="N434">
        <v>15</v>
      </c>
      <c r="O434">
        <v>3.7</v>
      </c>
      <c r="P434" t="s">
        <v>32</v>
      </c>
      <c r="Q434" t="s">
        <v>38</v>
      </c>
      <c r="R434" t="s">
        <v>34</v>
      </c>
      <c r="S434">
        <v>1</v>
      </c>
      <c r="T434">
        <v>2</v>
      </c>
      <c r="U434">
        <v>1</v>
      </c>
      <c r="V434" t="s">
        <v>46</v>
      </c>
      <c r="W434" t="s">
        <v>68</v>
      </c>
      <c r="X434" t="s">
        <v>95</v>
      </c>
      <c r="Y434" t="s">
        <v>33</v>
      </c>
      <c r="Z434">
        <v>3.7</v>
      </c>
    </row>
    <row r="435" spans="1:26" x14ac:dyDescent="0.3">
      <c r="A435" t="s">
        <v>556</v>
      </c>
      <c r="B435" s="1">
        <v>46137</v>
      </c>
      <c r="C435" s="1">
        <v>46139</v>
      </c>
      <c r="D435" s="1">
        <v>46144</v>
      </c>
      <c r="E435" t="s">
        <v>27</v>
      </c>
      <c r="F435" t="s">
        <v>28</v>
      </c>
      <c r="G435" t="s">
        <v>29</v>
      </c>
      <c r="H435">
        <v>1388</v>
      </c>
      <c r="I435" t="s">
        <v>60</v>
      </c>
      <c r="J435">
        <v>5</v>
      </c>
      <c r="K435">
        <v>9716</v>
      </c>
      <c r="L435">
        <v>9</v>
      </c>
      <c r="M435" t="s">
        <v>153</v>
      </c>
      <c r="N435">
        <v>15</v>
      </c>
      <c r="O435">
        <v>3.7</v>
      </c>
      <c r="P435" t="s">
        <v>53</v>
      </c>
      <c r="Q435" t="s">
        <v>38</v>
      </c>
      <c r="R435" t="s">
        <v>67</v>
      </c>
      <c r="S435">
        <v>3</v>
      </c>
      <c r="T435">
        <v>5</v>
      </c>
      <c r="U435">
        <v>2</v>
      </c>
      <c r="V435" t="s">
        <v>46</v>
      </c>
      <c r="W435" t="s">
        <v>55</v>
      </c>
      <c r="X435" t="s">
        <v>95</v>
      </c>
      <c r="Y435" t="s">
        <v>38</v>
      </c>
      <c r="Z435">
        <v>3.5</v>
      </c>
    </row>
    <row r="436" spans="1:26" x14ac:dyDescent="0.3">
      <c r="A436" t="s">
        <v>557</v>
      </c>
      <c r="B436" s="1">
        <v>46063</v>
      </c>
      <c r="C436" s="1">
        <v>46063</v>
      </c>
      <c r="D436" s="1">
        <v>46067</v>
      </c>
      <c r="E436" t="s">
        <v>82</v>
      </c>
      <c r="F436" t="s">
        <v>83</v>
      </c>
      <c r="G436" t="s">
        <v>84</v>
      </c>
      <c r="H436">
        <v>1222</v>
      </c>
      <c r="I436" t="s">
        <v>30</v>
      </c>
      <c r="J436">
        <v>6</v>
      </c>
      <c r="K436">
        <v>10998</v>
      </c>
      <c r="L436">
        <v>7</v>
      </c>
      <c r="M436" t="s">
        <v>243</v>
      </c>
      <c r="N436">
        <v>10</v>
      </c>
      <c r="O436">
        <v>4.7</v>
      </c>
      <c r="P436" t="s">
        <v>66</v>
      </c>
      <c r="Q436" t="s">
        <v>33</v>
      </c>
      <c r="R436" t="s">
        <v>34</v>
      </c>
      <c r="S436">
        <v>2</v>
      </c>
      <c r="T436">
        <v>4</v>
      </c>
      <c r="U436">
        <v>2</v>
      </c>
      <c r="V436" t="s">
        <v>46</v>
      </c>
      <c r="W436" t="s">
        <v>55</v>
      </c>
      <c r="X436" t="s">
        <v>95</v>
      </c>
      <c r="Y436" t="s">
        <v>38</v>
      </c>
      <c r="Z436">
        <v>4.0999999999999996</v>
      </c>
    </row>
    <row r="437" spans="1:26" x14ac:dyDescent="0.3">
      <c r="A437" t="s">
        <v>558</v>
      </c>
      <c r="B437" s="1">
        <v>46141</v>
      </c>
      <c r="C437" s="1">
        <v>46143</v>
      </c>
      <c r="D437" s="1">
        <v>46147</v>
      </c>
      <c r="E437" t="s">
        <v>92</v>
      </c>
      <c r="F437" t="s">
        <v>93</v>
      </c>
      <c r="G437" t="s">
        <v>94</v>
      </c>
      <c r="H437">
        <v>308</v>
      </c>
      <c r="I437" t="s">
        <v>60</v>
      </c>
      <c r="J437">
        <v>3</v>
      </c>
      <c r="K437">
        <v>1848</v>
      </c>
      <c r="L437">
        <v>6</v>
      </c>
      <c r="M437" t="s">
        <v>283</v>
      </c>
      <c r="N437">
        <v>1</v>
      </c>
      <c r="O437">
        <v>3.9</v>
      </c>
      <c r="P437" t="s">
        <v>45</v>
      </c>
      <c r="Q437" t="s">
        <v>33</v>
      </c>
      <c r="R437" t="s">
        <v>34</v>
      </c>
      <c r="S437">
        <v>1</v>
      </c>
      <c r="T437">
        <v>4</v>
      </c>
      <c r="U437">
        <v>3</v>
      </c>
      <c r="V437" t="s">
        <v>46</v>
      </c>
      <c r="W437" t="s">
        <v>36</v>
      </c>
      <c r="X437" t="s">
        <v>95</v>
      </c>
      <c r="Y437" t="s">
        <v>62</v>
      </c>
      <c r="Z437">
        <v>5</v>
      </c>
    </row>
    <row r="438" spans="1:26" x14ac:dyDescent="0.3">
      <c r="A438" t="s">
        <v>559</v>
      </c>
      <c r="B438" s="1">
        <v>46094</v>
      </c>
      <c r="C438" s="1">
        <v>46095</v>
      </c>
      <c r="D438" s="1">
        <v>46099</v>
      </c>
      <c r="E438" t="s">
        <v>92</v>
      </c>
      <c r="F438" t="s">
        <v>93</v>
      </c>
      <c r="G438" t="s">
        <v>94</v>
      </c>
      <c r="H438">
        <v>1209</v>
      </c>
      <c r="I438" t="s">
        <v>87</v>
      </c>
      <c r="J438">
        <v>3</v>
      </c>
      <c r="K438">
        <v>7254</v>
      </c>
      <c r="L438">
        <v>7</v>
      </c>
      <c r="M438" t="s">
        <v>109</v>
      </c>
      <c r="N438">
        <v>4</v>
      </c>
      <c r="O438">
        <v>4.7</v>
      </c>
      <c r="P438" t="s">
        <v>45</v>
      </c>
      <c r="Q438" t="s">
        <v>38</v>
      </c>
      <c r="R438" t="s">
        <v>54</v>
      </c>
      <c r="S438">
        <v>2</v>
      </c>
      <c r="T438">
        <v>4</v>
      </c>
      <c r="U438">
        <v>2</v>
      </c>
      <c r="V438" t="s">
        <v>46</v>
      </c>
      <c r="W438" t="s">
        <v>55</v>
      </c>
      <c r="X438" t="s">
        <v>76</v>
      </c>
      <c r="Y438" t="s">
        <v>38</v>
      </c>
      <c r="Z438">
        <v>4.2</v>
      </c>
    </row>
    <row r="439" spans="1:26" x14ac:dyDescent="0.3">
      <c r="A439" t="s">
        <v>560</v>
      </c>
      <c r="B439" s="1">
        <v>46023</v>
      </c>
      <c r="C439" s="1">
        <v>46025</v>
      </c>
      <c r="D439" s="1">
        <v>46029</v>
      </c>
      <c r="E439" t="s">
        <v>82</v>
      </c>
      <c r="F439" t="s">
        <v>83</v>
      </c>
      <c r="G439" t="s">
        <v>84</v>
      </c>
      <c r="H439">
        <v>1052</v>
      </c>
      <c r="I439" t="s">
        <v>87</v>
      </c>
      <c r="J439">
        <v>4</v>
      </c>
      <c r="K439">
        <v>12624</v>
      </c>
      <c r="L439">
        <v>8</v>
      </c>
      <c r="M439" t="s">
        <v>123</v>
      </c>
      <c r="N439">
        <v>2</v>
      </c>
      <c r="O439">
        <v>4.8</v>
      </c>
      <c r="P439" t="s">
        <v>32</v>
      </c>
      <c r="Q439" t="s">
        <v>62</v>
      </c>
      <c r="R439" t="s">
        <v>54</v>
      </c>
      <c r="S439">
        <v>2</v>
      </c>
      <c r="T439">
        <v>4</v>
      </c>
      <c r="U439">
        <v>2</v>
      </c>
      <c r="V439" t="s">
        <v>46</v>
      </c>
      <c r="W439" t="s">
        <v>36</v>
      </c>
      <c r="X439" t="s">
        <v>95</v>
      </c>
      <c r="Y439" t="s">
        <v>62</v>
      </c>
      <c r="Z439">
        <v>4.2</v>
      </c>
    </row>
    <row r="440" spans="1:26" x14ac:dyDescent="0.3">
      <c r="A440" t="s">
        <v>561</v>
      </c>
      <c r="B440" s="1">
        <v>46036</v>
      </c>
      <c r="C440" s="1">
        <v>46037</v>
      </c>
      <c r="D440" s="1">
        <v>46038</v>
      </c>
      <c r="E440" t="s">
        <v>82</v>
      </c>
      <c r="F440" t="s">
        <v>83</v>
      </c>
      <c r="G440" t="s">
        <v>84</v>
      </c>
      <c r="H440">
        <v>259</v>
      </c>
      <c r="I440" t="s">
        <v>87</v>
      </c>
      <c r="J440">
        <v>8</v>
      </c>
      <c r="K440">
        <v>3108</v>
      </c>
      <c r="L440">
        <v>10</v>
      </c>
      <c r="M440" t="s">
        <v>103</v>
      </c>
      <c r="N440">
        <v>8</v>
      </c>
      <c r="O440">
        <v>3.9</v>
      </c>
      <c r="P440" t="s">
        <v>66</v>
      </c>
      <c r="Q440" t="s">
        <v>33</v>
      </c>
      <c r="R440" t="s">
        <v>54</v>
      </c>
      <c r="S440">
        <v>1</v>
      </c>
      <c r="T440">
        <v>1</v>
      </c>
      <c r="U440">
        <v>0</v>
      </c>
      <c r="V440" t="s">
        <v>35</v>
      </c>
      <c r="W440" t="s">
        <v>55</v>
      </c>
      <c r="X440" t="s">
        <v>76</v>
      </c>
      <c r="Y440" t="s">
        <v>62</v>
      </c>
      <c r="Z440">
        <v>3.6</v>
      </c>
    </row>
    <row r="441" spans="1:26" x14ac:dyDescent="0.3">
      <c r="A441" t="s">
        <v>562</v>
      </c>
      <c r="B441" s="1">
        <v>46116</v>
      </c>
      <c r="C441" s="1">
        <v>46118</v>
      </c>
      <c r="D441" s="1">
        <v>46119</v>
      </c>
      <c r="E441" t="s">
        <v>82</v>
      </c>
      <c r="F441" t="s">
        <v>83</v>
      </c>
      <c r="G441" t="s">
        <v>84</v>
      </c>
      <c r="H441">
        <v>632</v>
      </c>
      <c r="I441" t="s">
        <v>87</v>
      </c>
      <c r="J441">
        <v>5</v>
      </c>
      <c r="K441">
        <v>5056</v>
      </c>
      <c r="L441">
        <v>5</v>
      </c>
      <c r="M441" t="s">
        <v>31</v>
      </c>
      <c r="N441">
        <v>2</v>
      </c>
      <c r="O441">
        <v>4.0999999999999996</v>
      </c>
      <c r="P441" t="s">
        <v>53</v>
      </c>
      <c r="Q441" t="s">
        <v>38</v>
      </c>
      <c r="R441" t="s">
        <v>34</v>
      </c>
      <c r="S441">
        <v>1</v>
      </c>
      <c r="T441">
        <v>1</v>
      </c>
      <c r="U441">
        <v>0</v>
      </c>
      <c r="V441" t="s">
        <v>35</v>
      </c>
      <c r="W441" t="s">
        <v>36</v>
      </c>
      <c r="X441" t="s">
        <v>95</v>
      </c>
      <c r="Y441" t="s">
        <v>38</v>
      </c>
      <c r="Z441">
        <v>3</v>
      </c>
    </row>
    <row r="442" spans="1:26" x14ac:dyDescent="0.3">
      <c r="A442" t="s">
        <v>563</v>
      </c>
      <c r="B442" s="1">
        <v>46049</v>
      </c>
      <c r="C442" s="1">
        <v>46049</v>
      </c>
      <c r="D442" s="1">
        <v>46052</v>
      </c>
      <c r="E442" t="s">
        <v>111</v>
      </c>
      <c r="F442" t="s">
        <v>27</v>
      </c>
      <c r="G442" t="s">
        <v>112</v>
      </c>
      <c r="H442">
        <v>1796</v>
      </c>
      <c r="I442" t="s">
        <v>43</v>
      </c>
      <c r="J442">
        <v>5</v>
      </c>
      <c r="K442">
        <v>19756</v>
      </c>
      <c r="L442">
        <v>10</v>
      </c>
      <c r="M442" t="s">
        <v>70</v>
      </c>
      <c r="N442">
        <v>2</v>
      </c>
      <c r="O442">
        <v>3.6</v>
      </c>
      <c r="P442" t="s">
        <v>53</v>
      </c>
      <c r="Q442" t="s">
        <v>33</v>
      </c>
      <c r="R442" t="s">
        <v>34</v>
      </c>
      <c r="S442">
        <v>3</v>
      </c>
      <c r="T442">
        <v>3</v>
      </c>
      <c r="U442">
        <v>0</v>
      </c>
      <c r="V442" t="s">
        <v>35</v>
      </c>
      <c r="W442" t="s">
        <v>68</v>
      </c>
      <c r="X442" t="s">
        <v>76</v>
      </c>
      <c r="Y442" t="s">
        <v>38</v>
      </c>
      <c r="Z442">
        <v>4</v>
      </c>
    </row>
    <row r="443" spans="1:26" x14ac:dyDescent="0.3">
      <c r="A443" t="s">
        <v>564</v>
      </c>
      <c r="B443" s="1">
        <v>46136</v>
      </c>
      <c r="C443" s="1">
        <v>46137</v>
      </c>
      <c r="D443" s="1">
        <v>46140</v>
      </c>
      <c r="E443" t="s">
        <v>92</v>
      </c>
      <c r="F443" t="s">
        <v>93</v>
      </c>
      <c r="G443" t="s">
        <v>94</v>
      </c>
      <c r="H443">
        <v>749</v>
      </c>
      <c r="I443" t="s">
        <v>43</v>
      </c>
      <c r="J443">
        <v>2</v>
      </c>
      <c r="K443">
        <v>8988</v>
      </c>
      <c r="L443">
        <v>8</v>
      </c>
      <c r="M443" t="s">
        <v>80</v>
      </c>
      <c r="N443">
        <v>10</v>
      </c>
      <c r="O443">
        <v>3.4</v>
      </c>
      <c r="P443" t="s">
        <v>53</v>
      </c>
      <c r="Q443" t="s">
        <v>38</v>
      </c>
      <c r="R443" t="s">
        <v>67</v>
      </c>
      <c r="S443">
        <v>1</v>
      </c>
      <c r="T443">
        <v>3</v>
      </c>
      <c r="U443">
        <v>2</v>
      </c>
      <c r="V443" t="s">
        <v>46</v>
      </c>
      <c r="W443" t="s">
        <v>68</v>
      </c>
      <c r="X443" t="s">
        <v>37</v>
      </c>
      <c r="Y443" t="s">
        <v>33</v>
      </c>
      <c r="Z443">
        <v>4.4000000000000004</v>
      </c>
    </row>
    <row r="444" spans="1:26" x14ac:dyDescent="0.3">
      <c r="A444" t="s">
        <v>565</v>
      </c>
      <c r="B444" s="1">
        <v>46042</v>
      </c>
      <c r="C444" s="1">
        <v>46043</v>
      </c>
      <c r="D444" s="1">
        <v>46046</v>
      </c>
      <c r="E444" t="s">
        <v>72</v>
      </c>
      <c r="F444" t="s">
        <v>73</v>
      </c>
      <c r="G444" t="s">
        <v>74</v>
      </c>
      <c r="H444">
        <v>795</v>
      </c>
      <c r="I444" t="s">
        <v>43</v>
      </c>
      <c r="J444">
        <v>7</v>
      </c>
      <c r="K444">
        <v>4770</v>
      </c>
      <c r="L444">
        <v>8</v>
      </c>
      <c r="M444" t="s">
        <v>131</v>
      </c>
      <c r="N444">
        <v>3</v>
      </c>
      <c r="O444">
        <v>5</v>
      </c>
      <c r="P444" t="s">
        <v>66</v>
      </c>
      <c r="Q444" t="s">
        <v>38</v>
      </c>
      <c r="R444" t="s">
        <v>54</v>
      </c>
      <c r="S444">
        <v>1</v>
      </c>
      <c r="T444">
        <v>3</v>
      </c>
      <c r="U444">
        <v>2</v>
      </c>
      <c r="V444" t="s">
        <v>46</v>
      </c>
      <c r="W444" t="s">
        <v>55</v>
      </c>
      <c r="X444" t="s">
        <v>63</v>
      </c>
      <c r="Y444" t="s">
        <v>33</v>
      </c>
      <c r="Z444">
        <v>3.2</v>
      </c>
    </row>
    <row r="445" spans="1:26" x14ac:dyDescent="0.3">
      <c r="A445" t="s">
        <v>566</v>
      </c>
      <c r="B445" s="1">
        <v>46028</v>
      </c>
      <c r="C445" s="1">
        <v>46030</v>
      </c>
      <c r="D445" s="1">
        <v>46032</v>
      </c>
      <c r="E445" t="s">
        <v>72</v>
      </c>
      <c r="F445" t="s">
        <v>73</v>
      </c>
      <c r="G445" t="s">
        <v>74</v>
      </c>
      <c r="H445">
        <v>1245</v>
      </c>
      <c r="I445" t="s">
        <v>43</v>
      </c>
      <c r="J445">
        <v>7</v>
      </c>
      <c r="K445">
        <v>7470</v>
      </c>
      <c r="L445">
        <v>8</v>
      </c>
      <c r="M445" t="s">
        <v>103</v>
      </c>
      <c r="N445">
        <v>12</v>
      </c>
      <c r="O445">
        <v>4.0999999999999996</v>
      </c>
      <c r="P445" t="s">
        <v>66</v>
      </c>
      <c r="Q445" t="s">
        <v>62</v>
      </c>
      <c r="R445" t="s">
        <v>34</v>
      </c>
      <c r="S445">
        <v>2</v>
      </c>
      <c r="T445">
        <v>2</v>
      </c>
      <c r="U445">
        <v>0</v>
      </c>
      <c r="V445" t="s">
        <v>35</v>
      </c>
      <c r="W445" t="s">
        <v>55</v>
      </c>
      <c r="X445" t="s">
        <v>63</v>
      </c>
      <c r="Y445" t="s">
        <v>38</v>
      </c>
      <c r="Z445">
        <v>4.5</v>
      </c>
    </row>
    <row r="446" spans="1:26" x14ac:dyDescent="0.3">
      <c r="A446" t="s">
        <v>567</v>
      </c>
      <c r="B446" s="1">
        <v>46082</v>
      </c>
      <c r="C446" s="1">
        <v>46082</v>
      </c>
      <c r="D446" s="1">
        <v>46085</v>
      </c>
      <c r="E446" t="s">
        <v>82</v>
      </c>
      <c r="F446" t="s">
        <v>83</v>
      </c>
      <c r="G446" t="s">
        <v>84</v>
      </c>
      <c r="H446">
        <v>1004</v>
      </c>
      <c r="I446" t="s">
        <v>87</v>
      </c>
      <c r="J446">
        <v>2</v>
      </c>
      <c r="K446">
        <v>9036</v>
      </c>
      <c r="L446">
        <v>10</v>
      </c>
      <c r="M446" t="s">
        <v>131</v>
      </c>
      <c r="N446">
        <v>6</v>
      </c>
      <c r="O446">
        <v>4.2</v>
      </c>
      <c r="P446" t="s">
        <v>53</v>
      </c>
      <c r="Q446" t="s">
        <v>33</v>
      </c>
      <c r="R446" t="s">
        <v>34</v>
      </c>
      <c r="S446">
        <v>2</v>
      </c>
      <c r="T446">
        <v>3</v>
      </c>
      <c r="U446">
        <v>1</v>
      </c>
      <c r="V446" t="s">
        <v>46</v>
      </c>
      <c r="W446" t="s">
        <v>36</v>
      </c>
      <c r="X446" t="s">
        <v>37</v>
      </c>
      <c r="Y446" t="s">
        <v>38</v>
      </c>
      <c r="Z446">
        <v>4.5</v>
      </c>
    </row>
    <row r="447" spans="1:26" x14ac:dyDescent="0.3">
      <c r="A447" t="s">
        <v>568</v>
      </c>
      <c r="B447" s="1">
        <v>46100</v>
      </c>
      <c r="C447" s="1">
        <v>46101</v>
      </c>
      <c r="D447" s="1">
        <v>46107</v>
      </c>
      <c r="E447" t="s">
        <v>72</v>
      </c>
      <c r="F447" t="s">
        <v>73</v>
      </c>
      <c r="G447" t="s">
        <v>74</v>
      </c>
      <c r="H447">
        <v>1088</v>
      </c>
      <c r="I447" t="s">
        <v>87</v>
      </c>
      <c r="J447">
        <v>1</v>
      </c>
      <c r="K447">
        <v>9792</v>
      </c>
      <c r="L447">
        <v>5</v>
      </c>
      <c r="M447" t="s">
        <v>158</v>
      </c>
      <c r="N447">
        <v>3</v>
      </c>
      <c r="O447">
        <v>4.3</v>
      </c>
      <c r="P447" t="s">
        <v>53</v>
      </c>
      <c r="Q447" t="s">
        <v>33</v>
      </c>
      <c r="R447" t="s">
        <v>34</v>
      </c>
      <c r="S447">
        <v>2</v>
      </c>
      <c r="T447">
        <v>6</v>
      </c>
      <c r="U447">
        <v>4</v>
      </c>
      <c r="V447" t="s">
        <v>46</v>
      </c>
      <c r="W447" t="s">
        <v>55</v>
      </c>
      <c r="X447" t="s">
        <v>47</v>
      </c>
      <c r="Y447" t="s">
        <v>33</v>
      </c>
      <c r="Z447">
        <v>4.3</v>
      </c>
    </row>
    <row r="448" spans="1:26" x14ac:dyDescent="0.3">
      <c r="A448" t="s">
        <v>569</v>
      </c>
      <c r="B448" s="1">
        <v>46111</v>
      </c>
      <c r="C448" s="1">
        <v>46113</v>
      </c>
      <c r="D448" s="1">
        <v>46116</v>
      </c>
      <c r="E448" t="s">
        <v>111</v>
      </c>
      <c r="F448" t="s">
        <v>27</v>
      </c>
      <c r="G448" t="s">
        <v>112</v>
      </c>
      <c r="H448">
        <v>819</v>
      </c>
      <c r="I448" t="s">
        <v>87</v>
      </c>
      <c r="J448">
        <v>3</v>
      </c>
      <c r="K448">
        <v>5733</v>
      </c>
      <c r="L448">
        <v>5</v>
      </c>
      <c r="M448" t="s">
        <v>160</v>
      </c>
      <c r="N448">
        <v>2</v>
      </c>
      <c r="O448">
        <v>4.5999999999999996</v>
      </c>
      <c r="P448" t="s">
        <v>45</v>
      </c>
      <c r="Q448" t="s">
        <v>38</v>
      </c>
      <c r="R448" t="s">
        <v>67</v>
      </c>
      <c r="S448">
        <v>1</v>
      </c>
      <c r="T448">
        <v>3</v>
      </c>
      <c r="U448">
        <v>2</v>
      </c>
      <c r="V448" t="s">
        <v>46</v>
      </c>
      <c r="W448" t="s">
        <v>36</v>
      </c>
      <c r="X448" t="s">
        <v>37</v>
      </c>
      <c r="Y448" t="s">
        <v>62</v>
      </c>
      <c r="Z448">
        <v>4.7</v>
      </c>
    </row>
    <row r="449" spans="1:26" x14ac:dyDescent="0.3">
      <c r="A449" t="s">
        <v>570</v>
      </c>
      <c r="B449" s="1">
        <v>46132</v>
      </c>
      <c r="C449" s="1">
        <v>46134</v>
      </c>
      <c r="D449" s="1">
        <v>46138</v>
      </c>
      <c r="E449" t="s">
        <v>40</v>
      </c>
      <c r="F449" t="s">
        <v>41</v>
      </c>
      <c r="G449" t="s">
        <v>42</v>
      </c>
      <c r="H449">
        <v>376</v>
      </c>
      <c r="I449" t="s">
        <v>30</v>
      </c>
      <c r="J449">
        <v>8</v>
      </c>
      <c r="K449">
        <v>2632</v>
      </c>
      <c r="L449">
        <v>8</v>
      </c>
      <c r="M449" t="s">
        <v>120</v>
      </c>
      <c r="N449">
        <v>1</v>
      </c>
      <c r="O449">
        <v>3.2</v>
      </c>
      <c r="P449" t="s">
        <v>45</v>
      </c>
      <c r="Q449" t="s">
        <v>33</v>
      </c>
      <c r="R449" t="s">
        <v>54</v>
      </c>
      <c r="S449">
        <v>1</v>
      </c>
      <c r="T449">
        <v>4</v>
      </c>
      <c r="U449">
        <v>3</v>
      </c>
      <c r="V449" t="s">
        <v>46</v>
      </c>
      <c r="W449" t="s">
        <v>36</v>
      </c>
      <c r="X449" t="s">
        <v>95</v>
      </c>
      <c r="Y449" t="s">
        <v>33</v>
      </c>
      <c r="Z449">
        <v>3.5</v>
      </c>
    </row>
    <row r="450" spans="1:26" x14ac:dyDescent="0.3">
      <c r="A450" t="s">
        <v>571</v>
      </c>
      <c r="B450" s="1">
        <v>46060</v>
      </c>
      <c r="C450" s="1">
        <v>46062</v>
      </c>
      <c r="D450" s="1">
        <v>46066</v>
      </c>
      <c r="E450" t="s">
        <v>111</v>
      </c>
      <c r="F450" t="s">
        <v>27</v>
      </c>
      <c r="G450" t="s">
        <v>112</v>
      </c>
      <c r="H450">
        <v>304</v>
      </c>
      <c r="I450" t="s">
        <v>30</v>
      </c>
      <c r="J450">
        <v>1</v>
      </c>
      <c r="K450">
        <v>1824</v>
      </c>
      <c r="L450">
        <v>10</v>
      </c>
      <c r="M450" t="s">
        <v>245</v>
      </c>
      <c r="N450">
        <v>7</v>
      </c>
      <c r="O450">
        <v>5</v>
      </c>
      <c r="P450" t="s">
        <v>53</v>
      </c>
      <c r="Q450" t="s">
        <v>33</v>
      </c>
      <c r="R450" t="s">
        <v>54</v>
      </c>
      <c r="S450">
        <v>1</v>
      </c>
      <c r="T450">
        <v>4</v>
      </c>
      <c r="U450">
        <v>3</v>
      </c>
      <c r="V450" t="s">
        <v>46</v>
      </c>
      <c r="W450" t="s">
        <v>68</v>
      </c>
      <c r="X450" t="s">
        <v>95</v>
      </c>
      <c r="Y450" t="s">
        <v>33</v>
      </c>
      <c r="Z450">
        <v>4.2</v>
      </c>
    </row>
    <row r="451" spans="1:26" x14ac:dyDescent="0.3">
      <c r="A451" t="s">
        <v>572</v>
      </c>
      <c r="B451" s="1">
        <v>46101</v>
      </c>
      <c r="C451" s="1">
        <v>46103</v>
      </c>
      <c r="D451" s="1">
        <v>46107</v>
      </c>
      <c r="E451" t="s">
        <v>92</v>
      </c>
      <c r="F451" t="s">
        <v>93</v>
      </c>
      <c r="G451" t="s">
        <v>94</v>
      </c>
      <c r="H451">
        <v>674</v>
      </c>
      <c r="I451" t="s">
        <v>87</v>
      </c>
      <c r="J451">
        <v>9</v>
      </c>
      <c r="K451">
        <v>4044</v>
      </c>
      <c r="L451">
        <v>8</v>
      </c>
      <c r="M451" t="s">
        <v>105</v>
      </c>
      <c r="N451">
        <v>6</v>
      </c>
      <c r="O451">
        <v>4.0999999999999996</v>
      </c>
      <c r="P451" t="s">
        <v>66</v>
      </c>
      <c r="Q451" t="s">
        <v>33</v>
      </c>
      <c r="R451" t="s">
        <v>34</v>
      </c>
      <c r="S451">
        <v>1</v>
      </c>
      <c r="T451">
        <v>4</v>
      </c>
      <c r="U451">
        <v>3</v>
      </c>
      <c r="V451" t="s">
        <v>46</v>
      </c>
      <c r="W451" t="s">
        <v>55</v>
      </c>
      <c r="X451" t="s">
        <v>47</v>
      </c>
      <c r="Y451" t="s">
        <v>62</v>
      </c>
      <c r="Z451">
        <v>4.4000000000000004</v>
      </c>
    </row>
    <row r="452" spans="1:26" x14ac:dyDescent="0.3">
      <c r="A452" t="s">
        <v>573</v>
      </c>
      <c r="B452" s="1">
        <v>46025</v>
      </c>
      <c r="C452" s="1">
        <v>46025</v>
      </c>
      <c r="D452" s="1">
        <v>46030</v>
      </c>
      <c r="E452" t="s">
        <v>57</v>
      </c>
      <c r="F452" t="s">
        <v>58</v>
      </c>
      <c r="G452" t="s">
        <v>59</v>
      </c>
      <c r="H452">
        <v>1687</v>
      </c>
      <c r="I452" t="s">
        <v>60</v>
      </c>
      <c r="J452">
        <v>8</v>
      </c>
      <c r="K452">
        <v>13496</v>
      </c>
      <c r="L452">
        <v>8</v>
      </c>
      <c r="M452" t="s">
        <v>239</v>
      </c>
      <c r="N452">
        <v>9</v>
      </c>
      <c r="O452">
        <v>3.4</v>
      </c>
      <c r="P452" t="s">
        <v>66</v>
      </c>
      <c r="Q452" t="s">
        <v>33</v>
      </c>
      <c r="R452" t="s">
        <v>54</v>
      </c>
      <c r="S452">
        <v>3</v>
      </c>
      <c r="T452">
        <v>5</v>
      </c>
      <c r="U452">
        <v>2</v>
      </c>
      <c r="V452" t="s">
        <v>46</v>
      </c>
      <c r="W452" t="s">
        <v>55</v>
      </c>
      <c r="X452" t="s">
        <v>95</v>
      </c>
      <c r="Y452" t="s">
        <v>62</v>
      </c>
      <c r="Z452">
        <v>4.7</v>
      </c>
    </row>
    <row r="453" spans="1:26" x14ac:dyDescent="0.3">
      <c r="A453" t="s">
        <v>574</v>
      </c>
      <c r="B453" s="1">
        <v>46109</v>
      </c>
      <c r="C453" s="1">
        <v>46111</v>
      </c>
      <c r="D453" s="1">
        <v>46113</v>
      </c>
      <c r="E453" t="s">
        <v>49</v>
      </c>
      <c r="F453" t="s">
        <v>50</v>
      </c>
      <c r="G453" t="s">
        <v>51</v>
      </c>
      <c r="H453">
        <v>1167</v>
      </c>
      <c r="I453" t="s">
        <v>60</v>
      </c>
      <c r="J453">
        <v>10</v>
      </c>
      <c r="K453">
        <v>8169</v>
      </c>
      <c r="L453">
        <v>7</v>
      </c>
      <c r="M453" t="s">
        <v>65</v>
      </c>
      <c r="N453">
        <v>12</v>
      </c>
      <c r="O453">
        <v>3.2</v>
      </c>
      <c r="P453" t="s">
        <v>53</v>
      </c>
      <c r="Q453" t="s">
        <v>38</v>
      </c>
      <c r="R453" t="s">
        <v>67</v>
      </c>
      <c r="S453">
        <v>2</v>
      </c>
      <c r="T453">
        <v>2</v>
      </c>
      <c r="U453">
        <v>0</v>
      </c>
      <c r="V453" t="s">
        <v>35</v>
      </c>
      <c r="W453" t="s">
        <v>55</v>
      </c>
      <c r="X453" t="s">
        <v>95</v>
      </c>
      <c r="Y453" t="s">
        <v>38</v>
      </c>
      <c r="Z453">
        <v>4.5999999999999996</v>
      </c>
    </row>
    <row r="454" spans="1:26" x14ac:dyDescent="0.3">
      <c r="A454" t="s">
        <v>575</v>
      </c>
      <c r="B454" s="1">
        <v>46143</v>
      </c>
      <c r="C454" s="1">
        <v>46144</v>
      </c>
      <c r="D454" s="1">
        <v>46145</v>
      </c>
      <c r="E454" t="s">
        <v>57</v>
      </c>
      <c r="F454" t="s">
        <v>58</v>
      </c>
      <c r="G454" t="s">
        <v>59</v>
      </c>
      <c r="H454">
        <v>680</v>
      </c>
      <c r="I454" t="s">
        <v>60</v>
      </c>
      <c r="J454">
        <v>9</v>
      </c>
      <c r="K454">
        <v>4080</v>
      </c>
      <c r="L454">
        <v>5</v>
      </c>
      <c r="M454" t="s">
        <v>178</v>
      </c>
      <c r="N454">
        <v>15</v>
      </c>
      <c r="O454">
        <v>3.5</v>
      </c>
      <c r="P454" t="s">
        <v>45</v>
      </c>
      <c r="Q454" t="s">
        <v>38</v>
      </c>
      <c r="R454" t="s">
        <v>54</v>
      </c>
      <c r="S454">
        <v>1</v>
      </c>
      <c r="T454">
        <v>1</v>
      </c>
      <c r="U454">
        <v>0</v>
      </c>
      <c r="V454" t="s">
        <v>35</v>
      </c>
      <c r="W454" t="s">
        <v>68</v>
      </c>
      <c r="X454" t="s">
        <v>95</v>
      </c>
      <c r="Y454" t="s">
        <v>38</v>
      </c>
      <c r="Z454">
        <v>4.2</v>
      </c>
    </row>
    <row r="455" spans="1:26" x14ac:dyDescent="0.3">
      <c r="A455" t="s">
        <v>576</v>
      </c>
      <c r="B455" s="1">
        <v>46038</v>
      </c>
      <c r="C455" s="1">
        <v>46040</v>
      </c>
      <c r="D455" s="1">
        <v>46046</v>
      </c>
      <c r="E455" t="s">
        <v>40</v>
      </c>
      <c r="F455" t="s">
        <v>41</v>
      </c>
      <c r="G455" t="s">
        <v>42</v>
      </c>
      <c r="H455">
        <v>1196</v>
      </c>
      <c r="I455" t="s">
        <v>30</v>
      </c>
      <c r="J455">
        <v>6</v>
      </c>
      <c r="K455">
        <v>14352</v>
      </c>
      <c r="L455">
        <v>7</v>
      </c>
      <c r="M455" t="s">
        <v>170</v>
      </c>
      <c r="N455">
        <v>1</v>
      </c>
      <c r="O455">
        <v>4.5</v>
      </c>
      <c r="P455" t="s">
        <v>66</v>
      </c>
      <c r="Q455" t="s">
        <v>38</v>
      </c>
      <c r="R455" t="s">
        <v>54</v>
      </c>
      <c r="S455">
        <v>2</v>
      </c>
      <c r="T455">
        <v>6</v>
      </c>
      <c r="U455">
        <v>4</v>
      </c>
      <c r="V455" t="s">
        <v>46</v>
      </c>
      <c r="W455" t="s">
        <v>55</v>
      </c>
      <c r="X455" t="s">
        <v>63</v>
      </c>
      <c r="Y455" t="s">
        <v>33</v>
      </c>
      <c r="Z455">
        <v>3.1</v>
      </c>
    </row>
    <row r="456" spans="1:26" x14ac:dyDescent="0.3">
      <c r="A456" t="s">
        <v>577</v>
      </c>
      <c r="B456" s="1">
        <v>46079</v>
      </c>
      <c r="C456" s="1">
        <v>46080</v>
      </c>
      <c r="D456" s="1">
        <v>46083</v>
      </c>
      <c r="E456" t="s">
        <v>72</v>
      </c>
      <c r="F456" t="s">
        <v>73</v>
      </c>
      <c r="G456" t="s">
        <v>74</v>
      </c>
      <c r="H456">
        <v>416</v>
      </c>
      <c r="I456" t="s">
        <v>87</v>
      </c>
      <c r="J456">
        <v>9</v>
      </c>
      <c r="K456">
        <v>2496</v>
      </c>
      <c r="L456">
        <v>9</v>
      </c>
      <c r="M456" t="s">
        <v>107</v>
      </c>
      <c r="N456">
        <v>3</v>
      </c>
      <c r="O456">
        <v>4.3</v>
      </c>
      <c r="P456" t="s">
        <v>45</v>
      </c>
      <c r="Q456" t="s">
        <v>62</v>
      </c>
      <c r="R456" t="s">
        <v>67</v>
      </c>
      <c r="S456">
        <v>1</v>
      </c>
      <c r="T456">
        <v>3</v>
      </c>
      <c r="U456">
        <v>2</v>
      </c>
      <c r="V456" t="s">
        <v>46</v>
      </c>
      <c r="W456" t="s">
        <v>55</v>
      </c>
      <c r="X456" t="s">
        <v>95</v>
      </c>
      <c r="Y456" t="s">
        <v>33</v>
      </c>
      <c r="Z456">
        <v>4</v>
      </c>
    </row>
    <row r="457" spans="1:26" x14ac:dyDescent="0.3">
      <c r="A457" t="s">
        <v>578</v>
      </c>
      <c r="B457" s="1">
        <v>46134</v>
      </c>
      <c r="C457" s="1">
        <v>46134</v>
      </c>
      <c r="D457" s="1">
        <v>46138</v>
      </c>
      <c r="E457" t="s">
        <v>82</v>
      </c>
      <c r="F457" t="s">
        <v>83</v>
      </c>
      <c r="G457" t="s">
        <v>84</v>
      </c>
      <c r="H457">
        <v>1525</v>
      </c>
      <c r="I457" t="s">
        <v>30</v>
      </c>
      <c r="J457">
        <v>6</v>
      </c>
      <c r="K457">
        <v>18300</v>
      </c>
      <c r="L457">
        <v>6</v>
      </c>
      <c r="M457" t="s">
        <v>118</v>
      </c>
      <c r="N457">
        <v>14</v>
      </c>
      <c r="O457">
        <v>3.4</v>
      </c>
      <c r="P457" t="s">
        <v>53</v>
      </c>
      <c r="Q457" t="s">
        <v>38</v>
      </c>
      <c r="R457" t="s">
        <v>67</v>
      </c>
      <c r="S457">
        <v>3</v>
      </c>
      <c r="T457">
        <v>4</v>
      </c>
      <c r="U457">
        <v>1</v>
      </c>
      <c r="V457" t="s">
        <v>46</v>
      </c>
      <c r="W457" t="s">
        <v>68</v>
      </c>
      <c r="X457" t="s">
        <v>76</v>
      </c>
      <c r="Y457" t="s">
        <v>38</v>
      </c>
      <c r="Z457">
        <v>3.2</v>
      </c>
    </row>
    <row r="458" spans="1:26" x14ac:dyDescent="0.3">
      <c r="A458" t="s">
        <v>579</v>
      </c>
      <c r="B458" s="1">
        <v>46070</v>
      </c>
      <c r="C458" s="1">
        <v>46072</v>
      </c>
      <c r="D458" s="1">
        <v>46076</v>
      </c>
      <c r="E458" t="s">
        <v>111</v>
      </c>
      <c r="F458" t="s">
        <v>27</v>
      </c>
      <c r="G458" t="s">
        <v>112</v>
      </c>
      <c r="H458">
        <v>938</v>
      </c>
      <c r="I458" t="s">
        <v>60</v>
      </c>
      <c r="J458">
        <v>3</v>
      </c>
      <c r="K458">
        <v>11256</v>
      </c>
      <c r="L458">
        <v>9</v>
      </c>
      <c r="M458" t="s">
        <v>114</v>
      </c>
      <c r="N458">
        <v>13</v>
      </c>
      <c r="O458">
        <v>3.5</v>
      </c>
      <c r="P458" t="s">
        <v>53</v>
      </c>
      <c r="Q458" t="s">
        <v>62</v>
      </c>
      <c r="R458" t="s">
        <v>34</v>
      </c>
      <c r="S458">
        <v>2</v>
      </c>
      <c r="T458">
        <v>4</v>
      </c>
      <c r="U458">
        <v>2</v>
      </c>
      <c r="V458" t="s">
        <v>46</v>
      </c>
      <c r="W458" t="s">
        <v>55</v>
      </c>
      <c r="X458" t="s">
        <v>47</v>
      </c>
      <c r="Y458" t="s">
        <v>38</v>
      </c>
      <c r="Z458">
        <v>3.9</v>
      </c>
    </row>
    <row r="459" spans="1:26" x14ac:dyDescent="0.3">
      <c r="A459" t="s">
        <v>580</v>
      </c>
      <c r="B459" s="1">
        <v>46121</v>
      </c>
      <c r="C459" s="1">
        <v>46121</v>
      </c>
      <c r="D459" s="1">
        <v>46122</v>
      </c>
      <c r="E459" t="s">
        <v>72</v>
      </c>
      <c r="F459" t="s">
        <v>73</v>
      </c>
      <c r="G459" t="s">
        <v>74</v>
      </c>
      <c r="H459">
        <v>373</v>
      </c>
      <c r="I459" t="s">
        <v>30</v>
      </c>
      <c r="J459">
        <v>6</v>
      </c>
      <c r="K459">
        <v>3357</v>
      </c>
      <c r="L459">
        <v>6</v>
      </c>
      <c r="M459" t="s">
        <v>120</v>
      </c>
      <c r="N459">
        <v>1</v>
      </c>
      <c r="O459">
        <v>3.8</v>
      </c>
      <c r="P459" t="s">
        <v>32</v>
      </c>
      <c r="Q459" t="s">
        <v>33</v>
      </c>
      <c r="R459" t="s">
        <v>54</v>
      </c>
      <c r="S459">
        <v>1</v>
      </c>
      <c r="T459">
        <v>1</v>
      </c>
      <c r="U459">
        <v>0</v>
      </c>
      <c r="V459" t="s">
        <v>35</v>
      </c>
      <c r="W459" t="s">
        <v>55</v>
      </c>
      <c r="X459" t="s">
        <v>76</v>
      </c>
      <c r="Y459" t="s">
        <v>62</v>
      </c>
      <c r="Z459">
        <v>3.8</v>
      </c>
    </row>
    <row r="460" spans="1:26" x14ac:dyDescent="0.3">
      <c r="A460" t="s">
        <v>581</v>
      </c>
      <c r="B460" s="1">
        <v>46136</v>
      </c>
      <c r="C460" s="1">
        <v>46138</v>
      </c>
      <c r="D460" s="1">
        <v>46143</v>
      </c>
      <c r="E460" t="s">
        <v>57</v>
      </c>
      <c r="F460" t="s">
        <v>58</v>
      </c>
      <c r="G460" t="s">
        <v>59</v>
      </c>
      <c r="H460">
        <v>1677</v>
      </c>
      <c r="I460" t="s">
        <v>30</v>
      </c>
      <c r="J460">
        <v>6</v>
      </c>
      <c r="K460">
        <v>10062</v>
      </c>
      <c r="L460">
        <v>7</v>
      </c>
      <c r="M460" t="s">
        <v>85</v>
      </c>
      <c r="N460">
        <v>10</v>
      </c>
      <c r="O460">
        <v>4.8</v>
      </c>
      <c r="P460" t="s">
        <v>53</v>
      </c>
      <c r="Q460" t="s">
        <v>62</v>
      </c>
      <c r="R460" t="s">
        <v>54</v>
      </c>
      <c r="S460">
        <v>3</v>
      </c>
      <c r="T460">
        <v>5</v>
      </c>
      <c r="U460">
        <v>2</v>
      </c>
      <c r="V460" t="s">
        <v>46</v>
      </c>
      <c r="W460" t="s">
        <v>55</v>
      </c>
      <c r="X460" t="s">
        <v>76</v>
      </c>
      <c r="Y460" t="s">
        <v>33</v>
      </c>
      <c r="Z460">
        <v>3.9</v>
      </c>
    </row>
    <row r="461" spans="1:26" x14ac:dyDescent="0.3">
      <c r="A461" t="s">
        <v>582</v>
      </c>
      <c r="B461" s="1">
        <v>46067</v>
      </c>
      <c r="C461" s="1">
        <v>46069</v>
      </c>
      <c r="D461" s="1">
        <v>46072</v>
      </c>
      <c r="E461" t="s">
        <v>111</v>
      </c>
      <c r="F461" t="s">
        <v>27</v>
      </c>
      <c r="G461" t="s">
        <v>112</v>
      </c>
      <c r="H461">
        <v>1788</v>
      </c>
      <c r="I461" t="s">
        <v>60</v>
      </c>
      <c r="J461">
        <v>5</v>
      </c>
      <c r="K461">
        <v>10728</v>
      </c>
      <c r="L461">
        <v>5</v>
      </c>
      <c r="M461" t="s">
        <v>52</v>
      </c>
      <c r="N461">
        <v>6</v>
      </c>
      <c r="O461">
        <v>3.8</v>
      </c>
      <c r="P461" t="s">
        <v>45</v>
      </c>
      <c r="Q461" t="s">
        <v>33</v>
      </c>
      <c r="R461" t="s">
        <v>54</v>
      </c>
      <c r="S461">
        <v>3</v>
      </c>
      <c r="T461">
        <v>3</v>
      </c>
      <c r="U461">
        <v>0</v>
      </c>
      <c r="V461" t="s">
        <v>35</v>
      </c>
      <c r="W461" t="s">
        <v>55</v>
      </c>
      <c r="X461" t="s">
        <v>76</v>
      </c>
      <c r="Y461" t="s">
        <v>62</v>
      </c>
      <c r="Z461">
        <v>4</v>
      </c>
    </row>
    <row r="462" spans="1:26" x14ac:dyDescent="0.3">
      <c r="A462" t="s">
        <v>583</v>
      </c>
      <c r="B462" s="1">
        <v>46119</v>
      </c>
      <c r="C462" s="1">
        <v>46121</v>
      </c>
      <c r="D462" s="1">
        <v>46124</v>
      </c>
      <c r="E462" t="s">
        <v>82</v>
      </c>
      <c r="F462" t="s">
        <v>83</v>
      </c>
      <c r="G462" t="s">
        <v>84</v>
      </c>
      <c r="H462">
        <v>247</v>
      </c>
      <c r="I462" t="s">
        <v>87</v>
      </c>
      <c r="J462">
        <v>9</v>
      </c>
      <c r="K462">
        <v>2470</v>
      </c>
      <c r="L462">
        <v>7</v>
      </c>
      <c r="M462" t="s">
        <v>125</v>
      </c>
      <c r="N462">
        <v>14</v>
      </c>
      <c r="O462">
        <v>4.5</v>
      </c>
      <c r="P462" t="s">
        <v>53</v>
      </c>
      <c r="Q462" t="s">
        <v>33</v>
      </c>
      <c r="R462" t="s">
        <v>67</v>
      </c>
      <c r="S462">
        <v>1</v>
      </c>
      <c r="T462">
        <v>3</v>
      </c>
      <c r="U462">
        <v>2</v>
      </c>
      <c r="V462" t="s">
        <v>46</v>
      </c>
      <c r="W462" t="s">
        <v>55</v>
      </c>
      <c r="X462" t="s">
        <v>76</v>
      </c>
      <c r="Y462" t="s">
        <v>62</v>
      </c>
      <c r="Z462">
        <v>3.2</v>
      </c>
    </row>
    <row r="463" spans="1:26" x14ac:dyDescent="0.3">
      <c r="A463" t="s">
        <v>584</v>
      </c>
      <c r="B463" s="1">
        <v>46119</v>
      </c>
      <c r="C463" s="1">
        <v>46121</v>
      </c>
      <c r="D463" s="1">
        <v>46124</v>
      </c>
      <c r="E463" t="s">
        <v>72</v>
      </c>
      <c r="F463" t="s">
        <v>73</v>
      </c>
      <c r="G463" t="s">
        <v>74</v>
      </c>
      <c r="H463">
        <v>1119</v>
      </c>
      <c r="I463" t="s">
        <v>30</v>
      </c>
      <c r="J463">
        <v>10</v>
      </c>
      <c r="K463">
        <v>12309</v>
      </c>
      <c r="L463">
        <v>5</v>
      </c>
      <c r="M463" t="s">
        <v>61</v>
      </c>
      <c r="N463">
        <v>6</v>
      </c>
      <c r="O463">
        <v>5</v>
      </c>
      <c r="P463" t="s">
        <v>45</v>
      </c>
      <c r="Q463" t="s">
        <v>62</v>
      </c>
      <c r="R463" t="s">
        <v>34</v>
      </c>
      <c r="S463">
        <v>2</v>
      </c>
      <c r="T463">
        <v>3</v>
      </c>
      <c r="U463">
        <v>1</v>
      </c>
      <c r="V463" t="s">
        <v>46</v>
      </c>
      <c r="W463" t="s">
        <v>55</v>
      </c>
      <c r="X463" t="s">
        <v>95</v>
      </c>
      <c r="Y463" t="s">
        <v>33</v>
      </c>
      <c r="Z463">
        <v>4.5</v>
      </c>
    </row>
    <row r="464" spans="1:26" x14ac:dyDescent="0.3">
      <c r="A464" t="s">
        <v>585</v>
      </c>
      <c r="B464" s="1">
        <v>46036</v>
      </c>
      <c r="C464" s="1">
        <v>46037</v>
      </c>
      <c r="D464" s="1">
        <v>46041</v>
      </c>
      <c r="E464" t="s">
        <v>40</v>
      </c>
      <c r="F464" t="s">
        <v>41</v>
      </c>
      <c r="G464" t="s">
        <v>42</v>
      </c>
      <c r="H464">
        <v>1794</v>
      </c>
      <c r="I464" t="s">
        <v>30</v>
      </c>
      <c r="J464">
        <v>8</v>
      </c>
      <c r="K464">
        <v>10764</v>
      </c>
      <c r="L464">
        <v>6</v>
      </c>
      <c r="M464" t="s">
        <v>245</v>
      </c>
      <c r="N464">
        <v>7</v>
      </c>
      <c r="O464">
        <v>4.7</v>
      </c>
      <c r="P464" t="s">
        <v>32</v>
      </c>
      <c r="Q464" t="s">
        <v>38</v>
      </c>
      <c r="R464" t="s">
        <v>67</v>
      </c>
      <c r="S464">
        <v>3</v>
      </c>
      <c r="T464">
        <v>4</v>
      </c>
      <c r="U464">
        <v>1</v>
      </c>
      <c r="V464" t="s">
        <v>46</v>
      </c>
      <c r="W464" t="s">
        <v>36</v>
      </c>
      <c r="X464" t="s">
        <v>95</v>
      </c>
      <c r="Y464" t="s">
        <v>38</v>
      </c>
      <c r="Z464">
        <v>3.9</v>
      </c>
    </row>
    <row r="465" spans="1:26" x14ac:dyDescent="0.3">
      <c r="A465" t="s">
        <v>586</v>
      </c>
      <c r="B465" s="1">
        <v>46070</v>
      </c>
      <c r="C465" s="1">
        <v>46072</v>
      </c>
      <c r="D465" s="1">
        <v>46077</v>
      </c>
      <c r="E465" t="s">
        <v>111</v>
      </c>
      <c r="F465" t="s">
        <v>27</v>
      </c>
      <c r="G465" t="s">
        <v>112</v>
      </c>
      <c r="H465">
        <v>1404</v>
      </c>
      <c r="I465" t="s">
        <v>43</v>
      </c>
      <c r="J465">
        <v>5</v>
      </c>
      <c r="K465">
        <v>14040</v>
      </c>
      <c r="L465">
        <v>8</v>
      </c>
      <c r="M465" t="s">
        <v>222</v>
      </c>
      <c r="N465">
        <v>7</v>
      </c>
      <c r="O465">
        <v>5</v>
      </c>
      <c r="P465" t="s">
        <v>53</v>
      </c>
      <c r="Q465" t="s">
        <v>33</v>
      </c>
      <c r="R465" t="s">
        <v>34</v>
      </c>
      <c r="S465">
        <v>3</v>
      </c>
      <c r="T465">
        <v>5</v>
      </c>
      <c r="U465">
        <v>2</v>
      </c>
      <c r="V465" t="s">
        <v>46</v>
      </c>
      <c r="W465" t="s">
        <v>36</v>
      </c>
      <c r="X465" t="s">
        <v>95</v>
      </c>
      <c r="Y465" t="s">
        <v>33</v>
      </c>
      <c r="Z465">
        <v>3.9</v>
      </c>
    </row>
    <row r="466" spans="1:26" x14ac:dyDescent="0.3">
      <c r="A466" t="s">
        <v>587</v>
      </c>
      <c r="B466" s="1">
        <v>46113</v>
      </c>
      <c r="C466" s="1">
        <v>46115</v>
      </c>
      <c r="D466" s="1">
        <v>46118</v>
      </c>
      <c r="E466" t="s">
        <v>72</v>
      </c>
      <c r="F466" t="s">
        <v>73</v>
      </c>
      <c r="G466" t="s">
        <v>74</v>
      </c>
      <c r="H466">
        <v>1622</v>
      </c>
      <c r="I466" t="s">
        <v>60</v>
      </c>
      <c r="J466">
        <v>8</v>
      </c>
      <c r="K466">
        <v>14598</v>
      </c>
      <c r="L466">
        <v>5</v>
      </c>
      <c r="M466" t="s">
        <v>31</v>
      </c>
      <c r="N466">
        <v>3</v>
      </c>
      <c r="O466">
        <v>4.9000000000000004</v>
      </c>
      <c r="P466" t="s">
        <v>66</v>
      </c>
      <c r="Q466" t="s">
        <v>38</v>
      </c>
      <c r="R466" t="s">
        <v>54</v>
      </c>
      <c r="S466">
        <v>3</v>
      </c>
      <c r="T466">
        <v>3</v>
      </c>
      <c r="U466">
        <v>0</v>
      </c>
      <c r="V466" t="s">
        <v>35</v>
      </c>
      <c r="W466" t="s">
        <v>36</v>
      </c>
      <c r="X466" t="s">
        <v>47</v>
      </c>
      <c r="Y466" t="s">
        <v>33</v>
      </c>
      <c r="Z466">
        <v>3.6</v>
      </c>
    </row>
    <row r="467" spans="1:26" x14ac:dyDescent="0.3">
      <c r="A467" t="s">
        <v>588</v>
      </c>
      <c r="B467" s="1">
        <v>46089</v>
      </c>
      <c r="C467" s="1">
        <v>46089</v>
      </c>
      <c r="D467" s="1">
        <v>46093</v>
      </c>
      <c r="E467" t="s">
        <v>72</v>
      </c>
      <c r="F467" t="s">
        <v>73</v>
      </c>
      <c r="G467" t="s">
        <v>74</v>
      </c>
      <c r="H467">
        <v>960</v>
      </c>
      <c r="I467" t="s">
        <v>30</v>
      </c>
      <c r="J467">
        <v>6</v>
      </c>
      <c r="K467">
        <v>7680</v>
      </c>
      <c r="L467">
        <v>7</v>
      </c>
      <c r="M467" t="s">
        <v>153</v>
      </c>
      <c r="N467">
        <v>1</v>
      </c>
      <c r="O467">
        <v>4.5999999999999996</v>
      </c>
      <c r="P467" t="s">
        <v>45</v>
      </c>
      <c r="Q467" t="s">
        <v>33</v>
      </c>
      <c r="R467" t="s">
        <v>34</v>
      </c>
      <c r="S467">
        <v>2</v>
      </c>
      <c r="T467">
        <v>4</v>
      </c>
      <c r="U467">
        <v>2</v>
      </c>
      <c r="V467" t="s">
        <v>46</v>
      </c>
      <c r="W467" t="s">
        <v>36</v>
      </c>
      <c r="X467" t="s">
        <v>37</v>
      </c>
      <c r="Y467" t="s">
        <v>33</v>
      </c>
      <c r="Z467">
        <v>4</v>
      </c>
    </row>
    <row r="468" spans="1:26" x14ac:dyDescent="0.3">
      <c r="A468" t="s">
        <v>589</v>
      </c>
      <c r="B468" s="1">
        <v>46038</v>
      </c>
      <c r="C468" s="1">
        <v>46040</v>
      </c>
      <c r="D468" s="1">
        <v>46042</v>
      </c>
      <c r="E468" t="s">
        <v>49</v>
      </c>
      <c r="F468" t="s">
        <v>50</v>
      </c>
      <c r="G468" t="s">
        <v>51</v>
      </c>
      <c r="H468">
        <v>338</v>
      </c>
      <c r="I468" t="s">
        <v>87</v>
      </c>
      <c r="J468">
        <v>7</v>
      </c>
      <c r="K468">
        <v>3042</v>
      </c>
      <c r="L468">
        <v>9</v>
      </c>
      <c r="M468" t="s">
        <v>131</v>
      </c>
      <c r="N468">
        <v>10</v>
      </c>
      <c r="O468">
        <v>3.9</v>
      </c>
      <c r="P468" t="s">
        <v>66</v>
      </c>
      <c r="Q468" t="s">
        <v>62</v>
      </c>
      <c r="R468" t="s">
        <v>34</v>
      </c>
      <c r="S468">
        <v>1</v>
      </c>
      <c r="T468">
        <v>2</v>
      </c>
      <c r="U468">
        <v>1</v>
      </c>
      <c r="V468" t="s">
        <v>46</v>
      </c>
      <c r="W468" t="s">
        <v>36</v>
      </c>
      <c r="X468" t="s">
        <v>76</v>
      </c>
      <c r="Y468" t="s">
        <v>33</v>
      </c>
      <c r="Z468">
        <v>3.9</v>
      </c>
    </row>
    <row r="469" spans="1:26" x14ac:dyDescent="0.3">
      <c r="A469" t="s">
        <v>590</v>
      </c>
      <c r="B469" s="1">
        <v>46080</v>
      </c>
      <c r="C469" s="1">
        <v>46082</v>
      </c>
      <c r="D469" s="1">
        <v>46083</v>
      </c>
      <c r="E469" t="s">
        <v>92</v>
      </c>
      <c r="F469" t="s">
        <v>93</v>
      </c>
      <c r="G469" t="s">
        <v>94</v>
      </c>
      <c r="H469">
        <v>505</v>
      </c>
      <c r="I469" t="s">
        <v>30</v>
      </c>
      <c r="J469">
        <v>2</v>
      </c>
      <c r="K469">
        <v>6060</v>
      </c>
      <c r="L469">
        <v>9</v>
      </c>
      <c r="M469" t="s">
        <v>103</v>
      </c>
      <c r="N469">
        <v>10</v>
      </c>
      <c r="O469">
        <v>3.8</v>
      </c>
      <c r="P469" t="s">
        <v>45</v>
      </c>
      <c r="Q469" t="s">
        <v>62</v>
      </c>
      <c r="R469" t="s">
        <v>34</v>
      </c>
      <c r="S469">
        <v>1</v>
      </c>
      <c r="T469">
        <v>1</v>
      </c>
      <c r="U469">
        <v>0</v>
      </c>
      <c r="V469" t="s">
        <v>35</v>
      </c>
      <c r="W469" t="s">
        <v>55</v>
      </c>
      <c r="X469" t="s">
        <v>95</v>
      </c>
      <c r="Y469" t="s">
        <v>33</v>
      </c>
      <c r="Z469">
        <v>3.6</v>
      </c>
    </row>
    <row r="470" spans="1:26" x14ac:dyDescent="0.3">
      <c r="A470" t="s">
        <v>591</v>
      </c>
      <c r="B470" s="1">
        <v>46034</v>
      </c>
      <c r="C470" s="1">
        <v>46034</v>
      </c>
      <c r="D470" s="1">
        <v>46040</v>
      </c>
      <c r="E470" t="s">
        <v>27</v>
      </c>
      <c r="F470" t="s">
        <v>28</v>
      </c>
      <c r="G470" t="s">
        <v>29</v>
      </c>
      <c r="H470">
        <v>1371</v>
      </c>
      <c r="I470" t="s">
        <v>30</v>
      </c>
      <c r="J470">
        <v>9</v>
      </c>
      <c r="K470">
        <v>15081</v>
      </c>
      <c r="L470">
        <v>5</v>
      </c>
      <c r="M470" t="s">
        <v>97</v>
      </c>
      <c r="N470">
        <v>9</v>
      </c>
      <c r="O470">
        <v>3.2</v>
      </c>
      <c r="P470" t="s">
        <v>32</v>
      </c>
      <c r="Q470" t="s">
        <v>33</v>
      </c>
      <c r="R470" t="s">
        <v>54</v>
      </c>
      <c r="S470">
        <v>3</v>
      </c>
      <c r="T470">
        <v>6</v>
      </c>
      <c r="U470">
        <v>3</v>
      </c>
      <c r="V470" t="s">
        <v>46</v>
      </c>
      <c r="W470" t="s">
        <v>55</v>
      </c>
      <c r="X470" t="s">
        <v>63</v>
      </c>
      <c r="Y470" t="s">
        <v>38</v>
      </c>
      <c r="Z470">
        <v>4.3</v>
      </c>
    </row>
    <row r="471" spans="1:26" x14ac:dyDescent="0.3">
      <c r="A471" t="s">
        <v>592</v>
      </c>
      <c r="B471" s="1">
        <v>46091</v>
      </c>
      <c r="C471" s="1">
        <v>46091</v>
      </c>
      <c r="D471" s="1">
        <v>46093</v>
      </c>
      <c r="E471" t="s">
        <v>27</v>
      </c>
      <c r="F471" t="s">
        <v>28</v>
      </c>
      <c r="G471" t="s">
        <v>29</v>
      </c>
      <c r="H471">
        <v>763</v>
      </c>
      <c r="I471" t="s">
        <v>60</v>
      </c>
      <c r="J471">
        <v>4</v>
      </c>
      <c r="K471">
        <v>9156</v>
      </c>
      <c r="L471">
        <v>10</v>
      </c>
      <c r="M471" t="s">
        <v>145</v>
      </c>
      <c r="N471">
        <v>8</v>
      </c>
      <c r="O471">
        <v>3.2</v>
      </c>
      <c r="P471" t="s">
        <v>66</v>
      </c>
      <c r="Q471" t="s">
        <v>62</v>
      </c>
      <c r="R471" t="s">
        <v>54</v>
      </c>
      <c r="S471">
        <v>1</v>
      </c>
      <c r="T471">
        <v>2</v>
      </c>
      <c r="U471">
        <v>1</v>
      </c>
      <c r="V471" t="s">
        <v>46</v>
      </c>
      <c r="W471" t="s">
        <v>36</v>
      </c>
      <c r="X471" t="s">
        <v>47</v>
      </c>
      <c r="Y471" t="s">
        <v>62</v>
      </c>
      <c r="Z471">
        <v>3.4</v>
      </c>
    </row>
    <row r="472" spans="1:26" x14ac:dyDescent="0.3">
      <c r="A472" t="s">
        <v>593</v>
      </c>
      <c r="B472" s="1">
        <v>46026</v>
      </c>
      <c r="C472" s="1">
        <v>46028</v>
      </c>
      <c r="D472" s="1">
        <v>46031</v>
      </c>
      <c r="E472" t="s">
        <v>49</v>
      </c>
      <c r="F472" t="s">
        <v>50</v>
      </c>
      <c r="G472" t="s">
        <v>51</v>
      </c>
      <c r="H472">
        <v>982</v>
      </c>
      <c r="I472" t="s">
        <v>30</v>
      </c>
      <c r="J472">
        <v>2</v>
      </c>
      <c r="K472">
        <v>5892</v>
      </c>
      <c r="L472">
        <v>5</v>
      </c>
      <c r="M472" t="s">
        <v>52</v>
      </c>
      <c r="N472">
        <v>3</v>
      </c>
      <c r="O472">
        <v>3.6</v>
      </c>
      <c r="P472" t="s">
        <v>45</v>
      </c>
      <c r="Q472" t="s">
        <v>62</v>
      </c>
      <c r="R472" t="s">
        <v>67</v>
      </c>
      <c r="S472">
        <v>2</v>
      </c>
      <c r="T472">
        <v>3</v>
      </c>
      <c r="U472">
        <v>1</v>
      </c>
      <c r="V472" t="s">
        <v>46</v>
      </c>
      <c r="W472" t="s">
        <v>68</v>
      </c>
      <c r="X472" t="s">
        <v>37</v>
      </c>
      <c r="Y472" t="s">
        <v>38</v>
      </c>
      <c r="Z472">
        <v>4.2</v>
      </c>
    </row>
    <row r="473" spans="1:26" x14ac:dyDescent="0.3">
      <c r="A473" t="s">
        <v>594</v>
      </c>
      <c r="B473" s="1">
        <v>46064</v>
      </c>
      <c r="C473" s="1">
        <v>46064</v>
      </c>
      <c r="D473" s="1">
        <v>46067</v>
      </c>
      <c r="E473" t="s">
        <v>27</v>
      </c>
      <c r="F473" t="s">
        <v>28</v>
      </c>
      <c r="G473" t="s">
        <v>29</v>
      </c>
      <c r="H473">
        <v>1660</v>
      </c>
      <c r="I473" t="s">
        <v>87</v>
      </c>
      <c r="J473">
        <v>5</v>
      </c>
      <c r="K473">
        <v>14940</v>
      </c>
      <c r="L473">
        <v>5</v>
      </c>
      <c r="M473" t="s">
        <v>226</v>
      </c>
      <c r="N473">
        <v>3</v>
      </c>
      <c r="O473">
        <v>3.8</v>
      </c>
      <c r="P473" t="s">
        <v>66</v>
      </c>
      <c r="Q473" t="s">
        <v>62</v>
      </c>
      <c r="R473" t="s">
        <v>34</v>
      </c>
      <c r="S473">
        <v>3</v>
      </c>
      <c r="T473">
        <v>3</v>
      </c>
      <c r="U473">
        <v>0</v>
      </c>
      <c r="V473" t="s">
        <v>35</v>
      </c>
      <c r="W473" t="s">
        <v>36</v>
      </c>
      <c r="X473" t="s">
        <v>37</v>
      </c>
      <c r="Y473" t="s">
        <v>33</v>
      </c>
      <c r="Z473">
        <v>4.2</v>
      </c>
    </row>
    <row r="474" spans="1:26" x14ac:dyDescent="0.3">
      <c r="A474" t="s">
        <v>595</v>
      </c>
      <c r="B474" s="1">
        <v>46086</v>
      </c>
      <c r="C474" s="1">
        <v>46088</v>
      </c>
      <c r="D474" s="1">
        <v>46089</v>
      </c>
      <c r="E474" t="s">
        <v>111</v>
      </c>
      <c r="F474" t="s">
        <v>27</v>
      </c>
      <c r="G474" t="s">
        <v>112</v>
      </c>
      <c r="H474">
        <v>435</v>
      </c>
      <c r="I474" t="s">
        <v>30</v>
      </c>
      <c r="J474">
        <v>1</v>
      </c>
      <c r="K474">
        <v>3480</v>
      </c>
      <c r="L474">
        <v>8</v>
      </c>
      <c r="M474" t="s">
        <v>88</v>
      </c>
      <c r="N474">
        <v>7</v>
      </c>
      <c r="O474">
        <v>3.1</v>
      </c>
      <c r="P474" t="s">
        <v>32</v>
      </c>
      <c r="Q474" t="s">
        <v>62</v>
      </c>
      <c r="R474" t="s">
        <v>54</v>
      </c>
      <c r="S474">
        <v>1</v>
      </c>
      <c r="T474">
        <v>1</v>
      </c>
      <c r="U474">
        <v>0</v>
      </c>
      <c r="V474" t="s">
        <v>35</v>
      </c>
      <c r="W474" t="s">
        <v>36</v>
      </c>
      <c r="X474" t="s">
        <v>47</v>
      </c>
      <c r="Y474" t="s">
        <v>33</v>
      </c>
      <c r="Z474">
        <v>4.9000000000000004</v>
      </c>
    </row>
    <row r="475" spans="1:26" x14ac:dyDescent="0.3">
      <c r="A475" t="s">
        <v>596</v>
      </c>
      <c r="B475" s="1">
        <v>46109</v>
      </c>
      <c r="C475" s="1">
        <v>46109</v>
      </c>
      <c r="D475" s="1">
        <v>46113</v>
      </c>
      <c r="E475" t="s">
        <v>40</v>
      </c>
      <c r="F475" t="s">
        <v>41</v>
      </c>
      <c r="G475" t="s">
        <v>42</v>
      </c>
      <c r="H475">
        <v>1762</v>
      </c>
      <c r="I475" t="s">
        <v>60</v>
      </c>
      <c r="J475">
        <v>5</v>
      </c>
      <c r="K475">
        <v>17620</v>
      </c>
      <c r="L475">
        <v>8</v>
      </c>
      <c r="M475" t="s">
        <v>128</v>
      </c>
      <c r="N475">
        <v>2</v>
      </c>
      <c r="O475">
        <v>4.7</v>
      </c>
      <c r="P475" t="s">
        <v>45</v>
      </c>
      <c r="Q475" t="s">
        <v>38</v>
      </c>
      <c r="R475" t="s">
        <v>34</v>
      </c>
      <c r="S475">
        <v>3</v>
      </c>
      <c r="T475">
        <v>4</v>
      </c>
      <c r="U475">
        <v>1</v>
      </c>
      <c r="V475" t="s">
        <v>46</v>
      </c>
      <c r="W475" t="s">
        <v>36</v>
      </c>
      <c r="X475" t="s">
        <v>76</v>
      </c>
      <c r="Y475" t="s">
        <v>62</v>
      </c>
      <c r="Z475">
        <v>4.9000000000000004</v>
      </c>
    </row>
    <row r="476" spans="1:26" x14ac:dyDescent="0.3">
      <c r="A476" t="s">
        <v>597</v>
      </c>
      <c r="B476" s="1">
        <v>46094</v>
      </c>
      <c r="C476" s="1">
        <v>46095</v>
      </c>
      <c r="D476" s="1">
        <v>46099</v>
      </c>
      <c r="E476" t="s">
        <v>27</v>
      </c>
      <c r="F476" t="s">
        <v>28</v>
      </c>
      <c r="G476" t="s">
        <v>29</v>
      </c>
      <c r="H476">
        <v>202</v>
      </c>
      <c r="I476" t="s">
        <v>43</v>
      </c>
      <c r="J476">
        <v>10</v>
      </c>
      <c r="K476">
        <v>1616</v>
      </c>
      <c r="L476">
        <v>10</v>
      </c>
      <c r="M476" t="s">
        <v>101</v>
      </c>
      <c r="N476">
        <v>1</v>
      </c>
      <c r="O476">
        <v>3.1</v>
      </c>
      <c r="P476" t="s">
        <v>53</v>
      </c>
      <c r="Q476" t="s">
        <v>62</v>
      </c>
      <c r="R476" t="s">
        <v>54</v>
      </c>
      <c r="S476">
        <v>1</v>
      </c>
      <c r="T476">
        <v>4</v>
      </c>
      <c r="U476">
        <v>3</v>
      </c>
      <c r="V476" t="s">
        <v>46</v>
      </c>
      <c r="W476" t="s">
        <v>68</v>
      </c>
      <c r="X476" t="s">
        <v>37</v>
      </c>
      <c r="Y476" t="s">
        <v>33</v>
      </c>
      <c r="Z476">
        <v>4.7</v>
      </c>
    </row>
    <row r="477" spans="1:26" x14ac:dyDescent="0.3">
      <c r="A477" t="s">
        <v>598</v>
      </c>
      <c r="B477" s="1">
        <v>46059</v>
      </c>
      <c r="C477" s="1">
        <v>46059</v>
      </c>
      <c r="D477" s="1">
        <v>46064</v>
      </c>
      <c r="E477" t="s">
        <v>82</v>
      </c>
      <c r="F477" t="s">
        <v>83</v>
      </c>
      <c r="G477" t="s">
        <v>84</v>
      </c>
      <c r="H477">
        <v>1713</v>
      </c>
      <c r="I477" t="s">
        <v>87</v>
      </c>
      <c r="J477">
        <v>5</v>
      </c>
      <c r="K477">
        <v>10278</v>
      </c>
      <c r="L477">
        <v>8</v>
      </c>
      <c r="M477" t="s">
        <v>65</v>
      </c>
      <c r="N477">
        <v>2</v>
      </c>
      <c r="O477">
        <v>4.7</v>
      </c>
      <c r="P477" t="s">
        <v>66</v>
      </c>
      <c r="Q477" t="s">
        <v>62</v>
      </c>
      <c r="R477" t="s">
        <v>67</v>
      </c>
      <c r="S477">
        <v>3</v>
      </c>
      <c r="T477">
        <v>5</v>
      </c>
      <c r="U477">
        <v>2</v>
      </c>
      <c r="V477" t="s">
        <v>46</v>
      </c>
      <c r="W477" t="s">
        <v>55</v>
      </c>
      <c r="X477" t="s">
        <v>47</v>
      </c>
      <c r="Y477" t="s">
        <v>33</v>
      </c>
      <c r="Z477">
        <v>3.5</v>
      </c>
    </row>
    <row r="478" spans="1:26" x14ac:dyDescent="0.3">
      <c r="A478" t="s">
        <v>599</v>
      </c>
      <c r="B478" s="1">
        <v>46119</v>
      </c>
      <c r="C478" s="1">
        <v>46121</v>
      </c>
      <c r="D478" s="1">
        <v>46122</v>
      </c>
      <c r="E478" t="s">
        <v>92</v>
      </c>
      <c r="F478" t="s">
        <v>93</v>
      </c>
      <c r="G478" t="s">
        <v>94</v>
      </c>
      <c r="H478">
        <v>759</v>
      </c>
      <c r="I478" t="s">
        <v>60</v>
      </c>
      <c r="J478">
        <v>6</v>
      </c>
      <c r="K478">
        <v>6072</v>
      </c>
      <c r="L478">
        <v>6</v>
      </c>
      <c r="M478" t="s">
        <v>61</v>
      </c>
      <c r="N478">
        <v>10</v>
      </c>
      <c r="O478">
        <v>3.7</v>
      </c>
      <c r="P478" t="s">
        <v>45</v>
      </c>
      <c r="Q478" t="s">
        <v>33</v>
      </c>
      <c r="R478" t="s">
        <v>67</v>
      </c>
      <c r="S478">
        <v>1</v>
      </c>
      <c r="T478">
        <v>1</v>
      </c>
      <c r="U478">
        <v>0</v>
      </c>
      <c r="V478" t="s">
        <v>35</v>
      </c>
      <c r="W478" t="s">
        <v>55</v>
      </c>
      <c r="X478" t="s">
        <v>37</v>
      </c>
      <c r="Y478" t="s">
        <v>62</v>
      </c>
      <c r="Z478">
        <v>4.0999999999999996</v>
      </c>
    </row>
    <row r="479" spans="1:26" x14ac:dyDescent="0.3">
      <c r="A479" t="s">
        <v>600</v>
      </c>
      <c r="B479" s="1">
        <v>46112</v>
      </c>
      <c r="C479" s="1">
        <v>46114</v>
      </c>
      <c r="D479" s="1">
        <v>46121</v>
      </c>
      <c r="E479" t="s">
        <v>92</v>
      </c>
      <c r="F479" t="s">
        <v>93</v>
      </c>
      <c r="G479" t="s">
        <v>94</v>
      </c>
      <c r="H479">
        <v>1761</v>
      </c>
      <c r="I479" t="s">
        <v>43</v>
      </c>
      <c r="J479">
        <v>9</v>
      </c>
      <c r="K479">
        <v>10566</v>
      </c>
      <c r="L479">
        <v>10</v>
      </c>
      <c r="M479" t="s">
        <v>97</v>
      </c>
      <c r="N479">
        <v>2</v>
      </c>
      <c r="O479">
        <v>4.0999999999999996</v>
      </c>
      <c r="P479" t="s">
        <v>53</v>
      </c>
      <c r="Q479" t="s">
        <v>33</v>
      </c>
      <c r="R479" t="s">
        <v>67</v>
      </c>
      <c r="S479">
        <v>3</v>
      </c>
      <c r="T479">
        <v>7</v>
      </c>
      <c r="U479">
        <v>4</v>
      </c>
      <c r="V479" t="s">
        <v>46</v>
      </c>
      <c r="W479" t="s">
        <v>68</v>
      </c>
      <c r="X479" t="s">
        <v>95</v>
      </c>
      <c r="Y479" t="s">
        <v>38</v>
      </c>
      <c r="Z479">
        <v>4.7</v>
      </c>
    </row>
    <row r="480" spans="1:26" x14ac:dyDescent="0.3">
      <c r="A480" t="s">
        <v>601</v>
      </c>
      <c r="B480" s="1">
        <v>46126</v>
      </c>
      <c r="C480" s="1">
        <v>46128</v>
      </c>
      <c r="D480" s="1">
        <v>46129</v>
      </c>
      <c r="E480" t="s">
        <v>27</v>
      </c>
      <c r="F480" t="s">
        <v>28</v>
      </c>
      <c r="G480" t="s">
        <v>29</v>
      </c>
      <c r="H480">
        <v>455</v>
      </c>
      <c r="I480" t="s">
        <v>43</v>
      </c>
      <c r="J480">
        <v>6</v>
      </c>
      <c r="K480">
        <v>3185</v>
      </c>
      <c r="L480">
        <v>8</v>
      </c>
      <c r="M480" t="s">
        <v>158</v>
      </c>
      <c r="N480">
        <v>4</v>
      </c>
      <c r="O480">
        <v>4.5</v>
      </c>
      <c r="P480" t="s">
        <v>66</v>
      </c>
      <c r="Q480" t="s">
        <v>33</v>
      </c>
      <c r="R480" t="s">
        <v>54</v>
      </c>
      <c r="S480">
        <v>1</v>
      </c>
      <c r="T480">
        <v>1</v>
      </c>
      <c r="U480">
        <v>0</v>
      </c>
      <c r="V480" t="s">
        <v>35</v>
      </c>
      <c r="W480" t="s">
        <v>55</v>
      </c>
      <c r="X480" t="s">
        <v>47</v>
      </c>
      <c r="Y480" t="s">
        <v>33</v>
      </c>
      <c r="Z480">
        <v>3.4</v>
      </c>
    </row>
    <row r="481" spans="1:26" x14ac:dyDescent="0.3">
      <c r="A481" t="s">
        <v>602</v>
      </c>
      <c r="B481" s="1">
        <v>46086</v>
      </c>
      <c r="C481" s="1">
        <v>46087</v>
      </c>
      <c r="D481" s="1">
        <v>46091</v>
      </c>
      <c r="E481" t="s">
        <v>27</v>
      </c>
      <c r="F481" t="s">
        <v>28</v>
      </c>
      <c r="G481" t="s">
        <v>29</v>
      </c>
      <c r="H481">
        <v>774</v>
      </c>
      <c r="I481" t="s">
        <v>43</v>
      </c>
      <c r="J481">
        <v>10</v>
      </c>
      <c r="K481">
        <v>5418</v>
      </c>
      <c r="L481">
        <v>5</v>
      </c>
      <c r="M481" t="s">
        <v>160</v>
      </c>
      <c r="N481">
        <v>14</v>
      </c>
      <c r="O481">
        <v>4.3</v>
      </c>
      <c r="P481" t="s">
        <v>32</v>
      </c>
      <c r="Q481" t="s">
        <v>62</v>
      </c>
      <c r="R481" t="s">
        <v>54</v>
      </c>
      <c r="S481">
        <v>1</v>
      </c>
      <c r="T481">
        <v>4</v>
      </c>
      <c r="U481">
        <v>3</v>
      </c>
      <c r="V481" t="s">
        <v>46</v>
      </c>
      <c r="W481" t="s">
        <v>36</v>
      </c>
      <c r="X481" t="s">
        <v>76</v>
      </c>
      <c r="Y481" t="s">
        <v>38</v>
      </c>
      <c r="Z481">
        <v>4.3</v>
      </c>
    </row>
    <row r="482" spans="1:26" x14ac:dyDescent="0.3">
      <c r="A482" t="s">
        <v>603</v>
      </c>
      <c r="B482" s="1">
        <v>46095</v>
      </c>
      <c r="C482" s="1">
        <v>46097</v>
      </c>
      <c r="D482" s="1">
        <v>46100</v>
      </c>
      <c r="E482" t="s">
        <v>82</v>
      </c>
      <c r="F482" t="s">
        <v>83</v>
      </c>
      <c r="G482" t="s">
        <v>84</v>
      </c>
      <c r="H482">
        <v>333</v>
      </c>
      <c r="I482" t="s">
        <v>60</v>
      </c>
      <c r="J482">
        <v>2</v>
      </c>
      <c r="K482">
        <v>2331</v>
      </c>
      <c r="L482">
        <v>7</v>
      </c>
      <c r="M482" t="s">
        <v>105</v>
      </c>
      <c r="N482">
        <v>14</v>
      </c>
      <c r="O482">
        <v>3.5</v>
      </c>
      <c r="P482" t="s">
        <v>66</v>
      </c>
      <c r="Q482" t="s">
        <v>38</v>
      </c>
      <c r="R482" t="s">
        <v>54</v>
      </c>
      <c r="S482">
        <v>1</v>
      </c>
      <c r="T482">
        <v>3</v>
      </c>
      <c r="U482">
        <v>2</v>
      </c>
      <c r="V482" t="s">
        <v>46</v>
      </c>
      <c r="W482" t="s">
        <v>55</v>
      </c>
      <c r="X482" t="s">
        <v>76</v>
      </c>
      <c r="Y482" t="s">
        <v>33</v>
      </c>
      <c r="Z482">
        <v>3.5</v>
      </c>
    </row>
    <row r="483" spans="1:26" x14ac:dyDescent="0.3">
      <c r="A483" t="s">
        <v>604</v>
      </c>
      <c r="B483" s="1">
        <v>46094</v>
      </c>
      <c r="C483" s="1">
        <v>46095</v>
      </c>
      <c r="D483" s="1">
        <v>46097</v>
      </c>
      <c r="E483" t="s">
        <v>27</v>
      </c>
      <c r="F483" t="s">
        <v>28</v>
      </c>
      <c r="G483" t="s">
        <v>29</v>
      </c>
      <c r="H483">
        <v>1074</v>
      </c>
      <c r="I483" t="s">
        <v>87</v>
      </c>
      <c r="J483">
        <v>6</v>
      </c>
      <c r="K483">
        <v>9666</v>
      </c>
      <c r="L483">
        <v>8</v>
      </c>
      <c r="M483" t="s">
        <v>44</v>
      </c>
      <c r="N483">
        <v>2</v>
      </c>
      <c r="O483">
        <v>4.4000000000000004</v>
      </c>
      <c r="P483" t="s">
        <v>53</v>
      </c>
      <c r="Q483" t="s">
        <v>62</v>
      </c>
      <c r="R483" t="s">
        <v>34</v>
      </c>
      <c r="S483">
        <v>2</v>
      </c>
      <c r="T483">
        <v>2</v>
      </c>
      <c r="U483">
        <v>0</v>
      </c>
      <c r="V483" t="s">
        <v>35</v>
      </c>
      <c r="W483" t="s">
        <v>55</v>
      </c>
      <c r="X483" t="s">
        <v>37</v>
      </c>
      <c r="Y483" t="s">
        <v>38</v>
      </c>
      <c r="Z483">
        <v>3.6</v>
      </c>
    </row>
    <row r="484" spans="1:26" x14ac:dyDescent="0.3">
      <c r="A484" t="s">
        <v>605</v>
      </c>
      <c r="B484" s="1">
        <v>46076</v>
      </c>
      <c r="C484" s="1">
        <v>46078</v>
      </c>
      <c r="D484" s="1">
        <v>46079</v>
      </c>
      <c r="E484" t="s">
        <v>92</v>
      </c>
      <c r="F484" t="s">
        <v>93</v>
      </c>
      <c r="G484" t="s">
        <v>94</v>
      </c>
      <c r="H484">
        <v>847</v>
      </c>
      <c r="I484" t="s">
        <v>87</v>
      </c>
      <c r="J484">
        <v>7</v>
      </c>
      <c r="K484">
        <v>5929</v>
      </c>
      <c r="L484">
        <v>7</v>
      </c>
      <c r="M484" t="s">
        <v>109</v>
      </c>
      <c r="N484">
        <v>15</v>
      </c>
      <c r="O484">
        <v>4.0999999999999996</v>
      </c>
      <c r="P484" t="s">
        <v>32</v>
      </c>
      <c r="Q484" t="s">
        <v>33</v>
      </c>
      <c r="R484" t="s">
        <v>67</v>
      </c>
      <c r="S484">
        <v>1</v>
      </c>
      <c r="T484">
        <v>1</v>
      </c>
      <c r="U484">
        <v>0</v>
      </c>
      <c r="V484" t="s">
        <v>35</v>
      </c>
      <c r="W484" t="s">
        <v>36</v>
      </c>
      <c r="X484" t="s">
        <v>37</v>
      </c>
      <c r="Y484" t="s">
        <v>38</v>
      </c>
      <c r="Z484">
        <v>3.7</v>
      </c>
    </row>
    <row r="485" spans="1:26" x14ac:dyDescent="0.3">
      <c r="A485" t="s">
        <v>606</v>
      </c>
      <c r="B485" s="1">
        <v>46031</v>
      </c>
      <c r="C485" s="1">
        <v>46033</v>
      </c>
      <c r="D485" s="1">
        <v>46035</v>
      </c>
      <c r="E485" t="s">
        <v>72</v>
      </c>
      <c r="F485" t="s">
        <v>73</v>
      </c>
      <c r="G485" t="s">
        <v>74</v>
      </c>
      <c r="H485">
        <v>257</v>
      </c>
      <c r="I485" t="s">
        <v>43</v>
      </c>
      <c r="J485">
        <v>7</v>
      </c>
      <c r="K485">
        <v>3084</v>
      </c>
      <c r="L485">
        <v>5</v>
      </c>
      <c r="M485" t="s">
        <v>145</v>
      </c>
      <c r="N485">
        <v>13</v>
      </c>
      <c r="O485">
        <v>4.3</v>
      </c>
      <c r="P485" t="s">
        <v>66</v>
      </c>
      <c r="Q485" t="s">
        <v>62</v>
      </c>
      <c r="R485" t="s">
        <v>67</v>
      </c>
      <c r="S485">
        <v>1</v>
      </c>
      <c r="T485">
        <v>2</v>
      </c>
      <c r="U485">
        <v>1</v>
      </c>
      <c r="V485" t="s">
        <v>46</v>
      </c>
      <c r="W485" t="s">
        <v>36</v>
      </c>
      <c r="X485" t="s">
        <v>47</v>
      </c>
      <c r="Y485" t="s">
        <v>38</v>
      </c>
      <c r="Z485">
        <v>4.5999999999999996</v>
      </c>
    </row>
    <row r="486" spans="1:26" x14ac:dyDescent="0.3">
      <c r="A486" t="s">
        <v>607</v>
      </c>
      <c r="B486" s="1">
        <v>46089</v>
      </c>
      <c r="C486" s="1">
        <v>46089</v>
      </c>
      <c r="D486" s="1">
        <v>46093</v>
      </c>
      <c r="E486" t="s">
        <v>72</v>
      </c>
      <c r="F486" t="s">
        <v>73</v>
      </c>
      <c r="G486" t="s">
        <v>74</v>
      </c>
      <c r="H486">
        <v>1788</v>
      </c>
      <c r="I486" t="s">
        <v>43</v>
      </c>
      <c r="J486">
        <v>2</v>
      </c>
      <c r="K486">
        <v>19668</v>
      </c>
      <c r="L486">
        <v>8</v>
      </c>
      <c r="M486" t="s">
        <v>145</v>
      </c>
      <c r="N486">
        <v>2</v>
      </c>
      <c r="O486">
        <v>3.2</v>
      </c>
      <c r="P486" t="s">
        <v>32</v>
      </c>
      <c r="Q486" t="s">
        <v>38</v>
      </c>
      <c r="R486" t="s">
        <v>34</v>
      </c>
      <c r="S486">
        <v>3</v>
      </c>
      <c r="T486">
        <v>4</v>
      </c>
      <c r="U486">
        <v>1</v>
      </c>
      <c r="V486" t="s">
        <v>46</v>
      </c>
      <c r="W486" t="s">
        <v>55</v>
      </c>
      <c r="X486" t="s">
        <v>63</v>
      </c>
      <c r="Y486" t="s">
        <v>38</v>
      </c>
      <c r="Z486">
        <v>3.1</v>
      </c>
    </row>
    <row r="487" spans="1:26" x14ac:dyDescent="0.3">
      <c r="A487" t="s">
        <v>608</v>
      </c>
      <c r="B487" s="1">
        <v>46125</v>
      </c>
      <c r="C487" s="1">
        <v>46126</v>
      </c>
      <c r="D487" s="1">
        <v>46130</v>
      </c>
      <c r="E487" t="s">
        <v>27</v>
      </c>
      <c r="F487" t="s">
        <v>28</v>
      </c>
      <c r="G487" t="s">
        <v>29</v>
      </c>
      <c r="H487">
        <v>817</v>
      </c>
      <c r="I487" t="s">
        <v>43</v>
      </c>
      <c r="J487">
        <v>2</v>
      </c>
      <c r="K487">
        <v>4902</v>
      </c>
      <c r="L487">
        <v>10</v>
      </c>
      <c r="M487" t="s">
        <v>208</v>
      </c>
      <c r="N487">
        <v>9</v>
      </c>
      <c r="O487">
        <v>3.1</v>
      </c>
      <c r="P487" t="s">
        <v>53</v>
      </c>
      <c r="Q487" t="s">
        <v>62</v>
      </c>
      <c r="R487" t="s">
        <v>67</v>
      </c>
      <c r="S487">
        <v>1</v>
      </c>
      <c r="T487">
        <v>4</v>
      </c>
      <c r="U487">
        <v>3</v>
      </c>
      <c r="V487" t="s">
        <v>46</v>
      </c>
      <c r="W487" t="s">
        <v>36</v>
      </c>
      <c r="X487" t="s">
        <v>76</v>
      </c>
      <c r="Y487" t="s">
        <v>33</v>
      </c>
      <c r="Z487">
        <v>4.2</v>
      </c>
    </row>
    <row r="488" spans="1:26" x14ac:dyDescent="0.3">
      <c r="A488" t="s">
        <v>609</v>
      </c>
      <c r="B488" s="1">
        <v>46081</v>
      </c>
      <c r="C488" s="1">
        <v>46082</v>
      </c>
      <c r="D488" s="1">
        <v>46084</v>
      </c>
      <c r="E488" t="s">
        <v>92</v>
      </c>
      <c r="F488" t="s">
        <v>93</v>
      </c>
      <c r="G488" t="s">
        <v>94</v>
      </c>
      <c r="H488">
        <v>1076</v>
      </c>
      <c r="I488" t="s">
        <v>87</v>
      </c>
      <c r="J488">
        <v>6</v>
      </c>
      <c r="K488">
        <v>11836</v>
      </c>
      <c r="L488">
        <v>10</v>
      </c>
      <c r="M488" t="s">
        <v>135</v>
      </c>
      <c r="N488">
        <v>8</v>
      </c>
      <c r="O488">
        <v>4</v>
      </c>
      <c r="P488" t="s">
        <v>45</v>
      </c>
      <c r="Q488" t="s">
        <v>38</v>
      </c>
      <c r="R488" t="s">
        <v>67</v>
      </c>
      <c r="S488">
        <v>2</v>
      </c>
      <c r="T488">
        <v>2</v>
      </c>
      <c r="U488">
        <v>0</v>
      </c>
      <c r="V488" t="s">
        <v>35</v>
      </c>
      <c r="W488" t="s">
        <v>55</v>
      </c>
      <c r="X488" t="s">
        <v>37</v>
      </c>
      <c r="Y488" t="s">
        <v>33</v>
      </c>
      <c r="Z488">
        <v>3.3</v>
      </c>
    </row>
    <row r="489" spans="1:26" x14ac:dyDescent="0.3">
      <c r="A489" t="s">
        <v>610</v>
      </c>
      <c r="B489" s="1">
        <v>46088</v>
      </c>
      <c r="C489" s="1">
        <v>46089</v>
      </c>
      <c r="D489" s="1">
        <v>46093</v>
      </c>
      <c r="E489" t="s">
        <v>49</v>
      </c>
      <c r="F489" t="s">
        <v>50</v>
      </c>
      <c r="G489" t="s">
        <v>51</v>
      </c>
      <c r="H489">
        <v>1062</v>
      </c>
      <c r="I489" t="s">
        <v>43</v>
      </c>
      <c r="J489">
        <v>10</v>
      </c>
      <c r="K489">
        <v>9558</v>
      </c>
      <c r="L489">
        <v>6</v>
      </c>
      <c r="M489" t="s">
        <v>125</v>
      </c>
      <c r="N489">
        <v>3</v>
      </c>
      <c r="O489">
        <v>4.5999999999999996</v>
      </c>
      <c r="P489" t="s">
        <v>32</v>
      </c>
      <c r="Q489" t="s">
        <v>38</v>
      </c>
      <c r="R489" t="s">
        <v>34</v>
      </c>
      <c r="S489">
        <v>2</v>
      </c>
      <c r="T489">
        <v>4</v>
      </c>
      <c r="U489">
        <v>2</v>
      </c>
      <c r="V489" t="s">
        <v>46</v>
      </c>
      <c r="W489" t="s">
        <v>68</v>
      </c>
      <c r="X489" t="s">
        <v>76</v>
      </c>
      <c r="Y489" t="s">
        <v>33</v>
      </c>
      <c r="Z489">
        <v>4.5</v>
      </c>
    </row>
    <row r="490" spans="1:26" x14ac:dyDescent="0.3">
      <c r="A490" t="s">
        <v>611</v>
      </c>
      <c r="B490" s="1">
        <v>46062</v>
      </c>
      <c r="C490" s="1">
        <v>46064</v>
      </c>
      <c r="D490" s="1">
        <v>46065</v>
      </c>
      <c r="E490" t="s">
        <v>82</v>
      </c>
      <c r="F490" t="s">
        <v>83</v>
      </c>
      <c r="G490" t="s">
        <v>84</v>
      </c>
      <c r="H490">
        <v>501</v>
      </c>
      <c r="I490" t="s">
        <v>43</v>
      </c>
      <c r="J490">
        <v>5</v>
      </c>
      <c r="K490">
        <v>5010</v>
      </c>
      <c r="L490">
        <v>7</v>
      </c>
      <c r="M490" t="s">
        <v>99</v>
      </c>
      <c r="N490">
        <v>6</v>
      </c>
      <c r="O490">
        <v>4.9000000000000004</v>
      </c>
      <c r="P490" t="s">
        <v>45</v>
      </c>
      <c r="Q490" t="s">
        <v>38</v>
      </c>
      <c r="R490" t="s">
        <v>67</v>
      </c>
      <c r="S490">
        <v>1</v>
      </c>
      <c r="T490">
        <v>1</v>
      </c>
      <c r="U490">
        <v>0</v>
      </c>
      <c r="V490" t="s">
        <v>35</v>
      </c>
      <c r="W490" t="s">
        <v>68</v>
      </c>
      <c r="X490" t="s">
        <v>47</v>
      </c>
      <c r="Y490" t="s">
        <v>38</v>
      </c>
      <c r="Z490">
        <v>5</v>
      </c>
    </row>
    <row r="491" spans="1:26" x14ac:dyDescent="0.3">
      <c r="A491" t="s">
        <v>612</v>
      </c>
      <c r="B491" s="1">
        <v>46104</v>
      </c>
      <c r="C491" s="1">
        <v>46104</v>
      </c>
      <c r="D491" s="1">
        <v>46106</v>
      </c>
      <c r="E491" t="s">
        <v>72</v>
      </c>
      <c r="F491" t="s">
        <v>73</v>
      </c>
      <c r="G491" t="s">
        <v>74</v>
      </c>
      <c r="H491">
        <v>899</v>
      </c>
      <c r="I491" t="s">
        <v>60</v>
      </c>
      <c r="J491">
        <v>8</v>
      </c>
      <c r="K491">
        <v>9889</v>
      </c>
      <c r="L491">
        <v>10</v>
      </c>
      <c r="M491" t="s">
        <v>61</v>
      </c>
      <c r="N491">
        <v>10</v>
      </c>
      <c r="O491">
        <v>4.4000000000000004</v>
      </c>
      <c r="P491" t="s">
        <v>66</v>
      </c>
      <c r="Q491" t="s">
        <v>33</v>
      </c>
      <c r="R491" t="s">
        <v>34</v>
      </c>
      <c r="S491">
        <v>1</v>
      </c>
      <c r="T491">
        <v>2</v>
      </c>
      <c r="U491">
        <v>1</v>
      </c>
      <c r="V491" t="s">
        <v>46</v>
      </c>
      <c r="W491" t="s">
        <v>36</v>
      </c>
      <c r="X491" t="s">
        <v>95</v>
      </c>
      <c r="Y491" t="s">
        <v>38</v>
      </c>
      <c r="Z491">
        <v>4</v>
      </c>
    </row>
    <row r="492" spans="1:26" x14ac:dyDescent="0.3">
      <c r="A492" t="s">
        <v>613</v>
      </c>
      <c r="B492" s="1">
        <v>46140</v>
      </c>
      <c r="C492" s="1">
        <v>46140</v>
      </c>
      <c r="D492" s="1">
        <v>46144</v>
      </c>
      <c r="E492" t="s">
        <v>40</v>
      </c>
      <c r="F492" t="s">
        <v>41</v>
      </c>
      <c r="G492" t="s">
        <v>42</v>
      </c>
      <c r="H492">
        <v>1619</v>
      </c>
      <c r="I492" t="s">
        <v>60</v>
      </c>
      <c r="J492">
        <v>8</v>
      </c>
      <c r="K492">
        <v>16190</v>
      </c>
      <c r="L492">
        <v>6</v>
      </c>
      <c r="M492" t="s">
        <v>125</v>
      </c>
      <c r="N492">
        <v>8</v>
      </c>
      <c r="O492">
        <v>4.5</v>
      </c>
      <c r="P492" t="s">
        <v>66</v>
      </c>
      <c r="Q492" t="s">
        <v>33</v>
      </c>
      <c r="R492" t="s">
        <v>34</v>
      </c>
      <c r="S492">
        <v>3</v>
      </c>
      <c r="T492">
        <v>4</v>
      </c>
      <c r="U492">
        <v>1</v>
      </c>
      <c r="V492" t="s">
        <v>46</v>
      </c>
      <c r="W492" t="s">
        <v>36</v>
      </c>
      <c r="X492" t="s">
        <v>47</v>
      </c>
      <c r="Y492" t="s">
        <v>38</v>
      </c>
      <c r="Z492">
        <v>3.1</v>
      </c>
    </row>
    <row r="493" spans="1:26" x14ac:dyDescent="0.3">
      <c r="A493" t="s">
        <v>614</v>
      </c>
      <c r="B493" s="1">
        <v>46026</v>
      </c>
      <c r="C493" s="1">
        <v>46028</v>
      </c>
      <c r="D493" s="1">
        <v>46029</v>
      </c>
      <c r="E493" t="s">
        <v>72</v>
      </c>
      <c r="F493" t="s">
        <v>73</v>
      </c>
      <c r="G493" t="s">
        <v>74</v>
      </c>
      <c r="H493">
        <v>491</v>
      </c>
      <c r="I493" t="s">
        <v>30</v>
      </c>
      <c r="J493">
        <v>8</v>
      </c>
      <c r="K493">
        <v>3437</v>
      </c>
      <c r="L493">
        <v>10</v>
      </c>
      <c r="M493" t="s">
        <v>145</v>
      </c>
      <c r="N493">
        <v>15</v>
      </c>
      <c r="O493">
        <v>4.5</v>
      </c>
      <c r="P493" t="s">
        <v>32</v>
      </c>
      <c r="Q493" t="s">
        <v>38</v>
      </c>
      <c r="R493" t="s">
        <v>67</v>
      </c>
      <c r="S493">
        <v>1</v>
      </c>
      <c r="T493">
        <v>1</v>
      </c>
      <c r="U493">
        <v>0</v>
      </c>
      <c r="V493" t="s">
        <v>35</v>
      </c>
      <c r="W493" t="s">
        <v>68</v>
      </c>
      <c r="X493" t="s">
        <v>37</v>
      </c>
      <c r="Y493" t="s">
        <v>38</v>
      </c>
      <c r="Z493">
        <v>4.8</v>
      </c>
    </row>
    <row r="494" spans="1:26" x14ac:dyDescent="0.3">
      <c r="A494" t="s">
        <v>615</v>
      </c>
      <c r="B494" s="1">
        <v>46115</v>
      </c>
      <c r="C494" s="1">
        <v>46115</v>
      </c>
      <c r="D494" s="1">
        <v>46117</v>
      </c>
      <c r="E494" t="s">
        <v>49</v>
      </c>
      <c r="F494" t="s">
        <v>50</v>
      </c>
      <c r="G494" t="s">
        <v>51</v>
      </c>
      <c r="H494">
        <v>1335</v>
      </c>
      <c r="I494" t="s">
        <v>60</v>
      </c>
      <c r="J494">
        <v>3</v>
      </c>
      <c r="K494">
        <v>9345</v>
      </c>
      <c r="L494">
        <v>5</v>
      </c>
      <c r="M494" t="s">
        <v>283</v>
      </c>
      <c r="N494">
        <v>14</v>
      </c>
      <c r="O494">
        <v>3.5</v>
      </c>
      <c r="P494" t="s">
        <v>32</v>
      </c>
      <c r="Q494" t="s">
        <v>38</v>
      </c>
      <c r="R494" t="s">
        <v>54</v>
      </c>
      <c r="S494">
        <v>2</v>
      </c>
      <c r="T494">
        <v>2</v>
      </c>
      <c r="U494">
        <v>0</v>
      </c>
      <c r="V494" t="s">
        <v>35</v>
      </c>
      <c r="W494" t="s">
        <v>68</v>
      </c>
      <c r="X494" t="s">
        <v>63</v>
      </c>
      <c r="Y494" t="s">
        <v>62</v>
      </c>
      <c r="Z494">
        <v>4.9000000000000004</v>
      </c>
    </row>
    <row r="495" spans="1:26" x14ac:dyDescent="0.3">
      <c r="A495" t="s">
        <v>616</v>
      </c>
      <c r="B495" s="1">
        <v>46062</v>
      </c>
      <c r="C495" s="1">
        <v>46063</v>
      </c>
      <c r="D495" s="1">
        <v>46065</v>
      </c>
      <c r="E495" t="s">
        <v>40</v>
      </c>
      <c r="F495" t="s">
        <v>41</v>
      </c>
      <c r="G495" t="s">
        <v>42</v>
      </c>
      <c r="H495">
        <v>957</v>
      </c>
      <c r="I495" t="s">
        <v>30</v>
      </c>
      <c r="J495">
        <v>3</v>
      </c>
      <c r="K495">
        <v>9570</v>
      </c>
      <c r="L495">
        <v>9</v>
      </c>
      <c r="M495" t="s">
        <v>120</v>
      </c>
      <c r="N495">
        <v>15</v>
      </c>
      <c r="O495">
        <v>4.4000000000000004</v>
      </c>
      <c r="P495" t="s">
        <v>32</v>
      </c>
      <c r="Q495" t="s">
        <v>38</v>
      </c>
      <c r="R495" t="s">
        <v>67</v>
      </c>
      <c r="S495">
        <v>2</v>
      </c>
      <c r="T495">
        <v>2</v>
      </c>
      <c r="U495">
        <v>0</v>
      </c>
      <c r="V495" t="s">
        <v>35</v>
      </c>
      <c r="W495" t="s">
        <v>36</v>
      </c>
      <c r="X495" t="s">
        <v>76</v>
      </c>
      <c r="Y495" t="s">
        <v>62</v>
      </c>
      <c r="Z495">
        <v>4.4000000000000004</v>
      </c>
    </row>
    <row r="496" spans="1:26" x14ac:dyDescent="0.3">
      <c r="A496" t="s">
        <v>617</v>
      </c>
      <c r="B496" s="1">
        <v>46063</v>
      </c>
      <c r="C496" s="1">
        <v>46065</v>
      </c>
      <c r="D496" s="1">
        <v>46068</v>
      </c>
      <c r="E496" t="s">
        <v>111</v>
      </c>
      <c r="F496" t="s">
        <v>27</v>
      </c>
      <c r="G496" t="s">
        <v>112</v>
      </c>
      <c r="H496">
        <v>1502</v>
      </c>
      <c r="I496" t="s">
        <v>60</v>
      </c>
      <c r="J496">
        <v>1</v>
      </c>
      <c r="K496">
        <v>18024</v>
      </c>
      <c r="L496">
        <v>9</v>
      </c>
      <c r="M496" t="s">
        <v>145</v>
      </c>
      <c r="N496">
        <v>4</v>
      </c>
      <c r="O496">
        <v>4.7</v>
      </c>
      <c r="P496" t="s">
        <v>66</v>
      </c>
      <c r="Q496" t="s">
        <v>38</v>
      </c>
      <c r="R496" t="s">
        <v>34</v>
      </c>
      <c r="S496">
        <v>3</v>
      </c>
      <c r="T496">
        <v>3</v>
      </c>
      <c r="U496">
        <v>0</v>
      </c>
      <c r="V496" t="s">
        <v>35</v>
      </c>
      <c r="W496" t="s">
        <v>55</v>
      </c>
      <c r="X496" t="s">
        <v>47</v>
      </c>
      <c r="Y496" t="s">
        <v>38</v>
      </c>
      <c r="Z496">
        <v>4.7</v>
      </c>
    </row>
    <row r="497" spans="1:26" x14ac:dyDescent="0.3">
      <c r="A497" t="s">
        <v>618</v>
      </c>
      <c r="B497" s="1">
        <v>46097</v>
      </c>
      <c r="C497" s="1">
        <v>46098</v>
      </c>
      <c r="D497" s="1">
        <v>46105</v>
      </c>
      <c r="E497" t="s">
        <v>40</v>
      </c>
      <c r="F497" t="s">
        <v>41</v>
      </c>
      <c r="G497" t="s">
        <v>42</v>
      </c>
      <c r="H497">
        <v>1689</v>
      </c>
      <c r="I497" t="s">
        <v>87</v>
      </c>
      <c r="J497">
        <v>8</v>
      </c>
      <c r="K497">
        <v>20268</v>
      </c>
      <c r="L497">
        <v>10</v>
      </c>
      <c r="M497" t="s">
        <v>139</v>
      </c>
      <c r="N497">
        <v>2</v>
      </c>
      <c r="O497">
        <v>3.3</v>
      </c>
      <c r="P497" t="s">
        <v>53</v>
      </c>
      <c r="Q497" t="s">
        <v>33</v>
      </c>
      <c r="R497" t="s">
        <v>54</v>
      </c>
      <c r="S497">
        <v>3</v>
      </c>
      <c r="T497">
        <v>7</v>
      </c>
      <c r="U497">
        <v>4</v>
      </c>
      <c r="V497" t="s">
        <v>46</v>
      </c>
      <c r="W497" t="s">
        <v>68</v>
      </c>
      <c r="X497" t="s">
        <v>37</v>
      </c>
      <c r="Y497" t="s">
        <v>62</v>
      </c>
      <c r="Z497">
        <v>4.4000000000000004</v>
      </c>
    </row>
    <row r="498" spans="1:26" x14ac:dyDescent="0.3">
      <c r="A498" t="s">
        <v>619</v>
      </c>
      <c r="B498" s="1">
        <v>46090</v>
      </c>
      <c r="C498" s="1">
        <v>46092</v>
      </c>
      <c r="D498" s="1">
        <v>46095</v>
      </c>
      <c r="E498" t="s">
        <v>92</v>
      </c>
      <c r="F498" t="s">
        <v>93</v>
      </c>
      <c r="G498" t="s">
        <v>94</v>
      </c>
      <c r="H498">
        <v>1665</v>
      </c>
      <c r="I498" t="s">
        <v>43</v>
      </c>
      <c r="J498">
        <v>8</v>
      </c>
      <c r="K498">
        <v>13320</v>
      </c>
      <c r="L498">
        <v>9</v>
      </c>
      <c r="M498" t="s">
        <v>205</v>
      </c>
      <c r="N498">
        <v>11</v>
      </c>
      <c r="O498">
        <v>4.8</v>
      </c>
      <c r="P498" t="s">
        <v>32</v>
      </c>
      <c r="Q498" t="s">
        <v>38</v>
      </c>
      <c r="R498" t="s">
        <v>67</v>
      </c>
      <c r="S498">
        <v>3</v>
      </c>
      <c r="T498">
        <v>3</v>
      </c>
      <c r="U498">
        <v>0</v>
      </c>
      <c r="V498" t="s">
        <v>35</v>
      </c>
      <c r="W498" t="s">
        <v>68</v>
      </c>
      <c r="X498" t="s">
        <v>37</v>
      </c>
      <c r="Y498" t="s">
        <v>62</v>
      </c>
      <c r="Z498">
        <v>3.4</v>
      </c>
    </row>
    <row r="499" spans="1:26" x14ac:dyDescent="0.3">
      <c r="A499" t="s">
        <v>620</v>
      </c>
      <c r="B499" s="1">
        <v>46077</v>
      </c>
      <c r="C499" s="1">
        <v>46078</v>
      </c>
      <c r="D499" s="1">
        <v>46083</v>
      </c>
      <c r="E499" t="s">
        <v>82</v>
      </c>
      <c r="F499" t="s">
        <v>83</v>
      </c>
      <c r="G499" t="s">
        <v>84</v>
      </c>
      <c r="H499">
        <v>966</v>
      </c>
      <c r="I499" t="s">
        <v>30</v>
      </c>
      <c r="J499">
        <v>9</v>
      </c>
      <c r="K499">
        <v>5796</v>
      </c>
      <c r="L499">
        <v>6</v>
      </c>
      <c r="M499" t="s">
        <v>190</v>
      </c>
      <c r="N499">
        <v>2</v>
      </c>
      <c r="O499">
        <v>3.6</v>
      </c>
      <c r="P499" t="s">
        <v>66</v>
      </c>
      <c r="Q499" t="s">
        <v>38</v>
      </c>
      <c r="R499" t="s">
        <v>54</v>
      </c>
      <c r="S499">
        <v>2</v>
      </c>
      <c r="T499">
        <v>5</v>
      </c>
      <c r="U499">
        <v>3</v>
      </c>
      <c r="V499" t="s">
        <v>46</v>
      </c>
      <c r="W499" t="s">
        <v>55</v>
      </c>
      <c r="X499" t="s">
        <v>76</v>
      </c>
      <c r="Y499" t="s">
        <v>62</v>
      </c>
      <c r="Z499">
        <v>3.9</v>
      </c>
    </row>
    <row r="500" spans="1:26" x14ac:dyDescent="0.3">
      <c r="A500" t="s">
        <v>621</v>
      </c>
      <c r="B500" s="1">
        <v>46082</v>
      </c>
      <c r="C500" s="1">
        <v>46083</v>
      </c>
      <c r="D500" s="1">
        <v>46087</v>
      </c>
      <c r="E500" t="s">
        <v>111</v>
      </c>
      <c r="F500" t="s">
        <v>27</v>
      </c>
      <c r="G500" t="s">
        <v>112</v>
      </c>
      <c r="H500">
        <v>952</v>
      </c>
      <c r="I500" t="s">
        <v>43</v>
      </c>
      <c r="J500">
        <v>6</v>
      </c>
      <c r="K500">
        <v>7616</v>
      </c>
      <c r="L500">
        <v>8</v>
      </c>
      <c r="M500" t="s">
        <v>135</v>
      </c>
      <c r="N500">
        <v>3</v>
      </c>
      <c r="O500">
        <v>3.9</v>
      </c>
      <c r="P500" t="s">
        <v>66</v>
      </c>
      <c r="Q500" t="s">
        <v>33</v>
      </c>
      <c r="R500" t="s">
        <v>67</v>
      </c>
      <c r="S500">
        <v>2</v>
      </c>
      <c r="T500">
        <v>4</v>
      </c>
      <c r="U500">
        <v>2</v>
      </c>
      <c r="V500" t="s">
        <v>46</v>
      </c>
      <c r="W500" t="s">
        <v>55</v>
      </c>
      <c r="X500" t="s">
        <v>76</v>
      </c>
      <c r="Y500" t="s">
        <v>33</v>
      </c>
      <c r="Z500">
        <v>4.3</v>
      </c>
    </row>
    <row r="501" spans="1:26" x14ac:dyDescent="0.3">
      <c r="A501" t="s">
        <v>622</v>
      </c>
      <c r="B501" s="1">
        <v>46123</v>
      </c>
      <c r="C501" s="1">
        <v>46124</v>
      </c>
      <c r="D501" s="1">
        <v>46127</v>
      </c>
      <c r="E501" t="s">
        <v>40</v>
      </c>
      <c r="F501" t="s">
        <v>41</v>
      </c>
      <c r="G501" t="s">
        <v>42</v>
      </c>
      <c r="H501">
        <v>401</v>
      </c>
      <c r="I501" t="s">
        <v>87</v>
      </c>
      <c r="J501">
        <v>2</v>
      </c>
      <c r="K501">
        <v>3208</v>
      </c>
      <c r="L501">
        <v>5</v>
      </c>
      <c r="M501" t="s">
        <v>52</v>
      </c>
      <c r="N501">
        <v>4</v>
      </c>
      <c r="O501">
        <v>3.7</v>
      </c>
      <c r="P501" t="s">
        <v>66</v>
      </c>
      <c r="Q501" t="s">
        <v>62</v>
      </c>
      <c r="R501" t="s">
        <v>34</v>
      </c>
      <c r="S501">
        <v>1</v>
      </c>
      <c r="T501">
        <v>3</v>
      </c>
      <c r="U501">
        <v>2</v>
      </c>
      <c r="V501" t="s">
        <v>46</v>
      </c>
      <c r="W501" t="s">
        <v>36</v>
      </c>
      <c r="X501" t="s">
        <v>76</v>
      </c>
      <c r="Y501" t="s">
        <v>38</v>
      </c>
      <c r="Z501">
        <v>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A2FF-6F17-44D6-9DB3-950BFC81E6BE}">
  <dimension ref="A1:AC501"/>
  <sheetViews>
    <sheetView topLeftCell="T1" workbookViewId="0">
      <pane ySplit="1" topLeftCell="A475" activePane="bottomLeft" state="frozen"/>
      <selection pane="bottomLeft" activeCell="A2" sqref="A1:AC501"/>
    </sheetView>
  </sheetViews>
  <sheetFormatPr defaultRowHeight="14.4" x14ac:dyDescent="0.3"/>
  <cols>
    <col min="1" max="1" width="16.33203125" bestFit="1" customWidth="1"/>
    <col min="2" max="2" width="15.109375" style="1" bestFit="1" customWidth="1"/>
    <col min="3" max="3" width="17.6640625" style="1" bestFit="1" customWidth="1"/>
    <col min="4" max="4" width="17.109375" style="1" bestFit="1" customWidth="1"/>
    <col min="5" max="5" width="15.44140625" bestFit="1" customWidth="1"/>
    <col min="6" max="6" width="19.33203125" bestFit="1" customWidth="1"/>
    <col min="7" max="7" width="16.5546875" bestFit="1" customWidth="1"/>
    <col min="8" max="8" width="16.21875" bestFit="1" customWidth="1"/>
    <col min="9" max="9" width="16.6640625" bestFit="1" customWidth="1"/>
    <col min="10" max="10" width="15.77734375" bestFit="1" customWidth="1"/>
    <col min="11" max="11" width="13.5546875" bestFit="1" customWidth="1"/>
    <col min="12" max="12" width="22.44140625" bestFit="1" customWidth="1"/>
    <col min="13" max="13" width="13.21875" bestFit="1" customWidth="1"/>
    <col min="14" max="14" width="26.33203125" bestFit="1" customWidth="1"/>
    <col min="15" max="15" width="16.77734375" bestFit="1" customWidth="1"/>
    <col min="16" max="16" width="22.109375" bestFit="1" customWidth="1"/>
    <col min="17" max="17" width="16.109375" bestFit="1" customWidth="1"/>
    <col min="18" max="18" width="19.109375" bestFit="1" customWidth="1"/>
    <col min="19" max="19" width="26.88671875" bestFit="1" customWidth="1"/>
    <col min="20" max="20" width="23.77734375" bestFit="1" customWidth="1"/>
    <col min="21" max="21" width="15.109375" bestFit="1" customWidth="1"/>
    <col min="22" max="22" width="18.5546875" bestFit="1" customWidth="1"/>
    <col min="23" max="23" width="18.77734375" bestFit="1" customWidth="1"/>
    <col min="24" max="25" width="20.77734375" bestFit="1" customWidth="1"/>
    <col min="26" max="26" width="20" bestFit="1" customWidth="1"/>
    <col min="27" max="27" width="18" customWidth="1"/>
    <col min="28" max="28" width="13.44140625" customWidth="1"/>
    <col min="29" max="29" width="22.5546875" customWidth="1"/>
  </cols>
  <sheetData>
    <row r="1" spans="1:29" s="2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623</v>
      </c>
      <c r="AB1" s="2" t="s">
        <v>20</v>
      </c>
      <c r="AC1" s="2" t="s">
        <v>624</v>
      </c>
    </row>
    <row r="2" spans="1:29" x14ac:dyDescent="0.3">
      <c r="A2" t="s">
        <v>26</v>
      </c>
      <c r="B2" s="1">
        <v>46104</v>
      </c>
      <c r="C2" s="1">
        <v>46104</v>
      </c>
      <c r="D2" s="1">
        <v>46107</v>
      </c>
      <c r="E2" t="s">
        <v>27</v>
      </c>
      <c r="F2" t="s">
        <v>28</v>
      </c>
      <c r="G2" t="s">
        <v>29</v>
      </c>
      <c r="H2">
        <v>1718</v>
      </c>
      <c r="I2" t="s">
        <v>30</v>
      </c>
      <c r="J2">
        <v>4</v>
      </c>
      <c r="K2">
        <v>12026</v>
      </c>
      <c r="L2">
        <v>6</v>
      </c>
      <c r="M2" t="s">
        <v>31</v>
      </c>
      <c r="N2">
        <v>2</v>
      </c>
      <c r="O2">
        <v>4.4000000000000004</v>
      </c>
      <c r="P2" t="s">
        <v>32</v>
      </c>
      <c r="Q2" t="s">
        <v>33</v>
      </c>
      <c r="R2" t="s">
        <v>34</v>
      </c>
      <c r="S2">
        <v>3</v>
      </c>
      <c r="T2">
        <v>3</v>
      </c>
      <c r="U2">
        <v>0</v>
      </c>
      <c r="V2" t="s">
        <v>35</v>
      </c>
      <c r="W2" t="s">
        <v>36</v>
      </c>
      <c r="X2" t="s">
        <v>37</v>
      </c>
      <c r="Y2" t="s">
        <v>38</v>
      </c>
      <c r="Z2">
        <v>4</v>
      </c>
      <c r="AA2">
        <f>(K2/H2)</f>
        <v>7</v>
      </c>
      <c r="AB2" t="str">
        <f>IF(U2&gt;0,"Yes","No")</f>
        <v>No</v>
      </c>
      <c r="AC2" t="str">
        <f>IF(U2=0,"Efficient","Needs Improvement")</f>
        <v>Efficient</v>
      </c>
    </row>
    <row r="3" spans="1:29" x14ac:dyDescent="0.3">
      <c r="A3" t="s">
        <v>39</v>
      </c>
      <c r="B3" s="1">
        <v>46026</v>
      </c>
      <c r="C3" s="1">
        <v>46028</v>
      </c>
      <c r="D3" s="1">
        <v>46032</v>
      </c>
      <c r="E3" t="s">
        <v>40</v>
      </c>
      <c r="F3" t="s">
        <v>41</v>
      </c>
      <c r="G3" t="s">
        <v>42</v>
      </c>
      <c r="H3">
        <v>1666</v>
      </c>
      <c r="I3" t="s">
        <v>43</v>
      </c>
      <c r="J3">
        <v>4</v>
      </c>
      <c r="K3">
        <v>14994</v>
      </c>
      <c r="L3">
        <v>9</v>
      </c>
      <c r="M3" t="s">
        <v>44</v>
      </c>
      <c r="N3">
        <v>13</v>
      </c>
      <c r="O3">
        <v>4.7</v>
      </c>
      <c r="P3" t="s">
        <v>45</v>
      </c>
      <c r="Q3" t="s">
        <v>33</v>
      </c>
      <c r="R3" t="s">
        <v>34</v>
      </c>
      <c r="S3">
        <v>3</v>
      </c>
      <c r="T3">
        <v>4</v>
      </c>
      <c r="U3">
        <v>1</v>
      </c>
      <c r="V3" t="s">
        <v>46</v>
      </c>
      <c r="W3" t="s">
        <v>36</v>
      </c>
      <c r="X3" t="s">
        <v>47</v>
      </c>
      <c r="Y3" t="s">
        <v>38</v>
      </c>
      <c r="Z3">
        <v>3.2</v>
      </c>
      <c r="AA3">
        <f t="shared" ref="AA3:AA66" si="0">(K3/H3)</f>
        <v>9</v>
      </c>
      <c r="AB3" t="str">
        <f t="shared" ref="AB3:AB66" si="1">IF(U3&gt;0,"Yes","No")</f>
        <v>Yes</v>
      </c>
      <c r="AC3" t="str">
        <f t="shared" ref="AC3:AC66" si="2">IF(U3=0,"Efficient","Needs Improvement")</f>
        <v>Needs Improvement</v>
      </c>
    </row>
    <row r="4" spans="1:29" x14ac:dyDescent="0.3">
      <c r="A4" t="s">
        <v>48</v>
      </c>
      <c r="B4" s="1">
        <v>46035</v>
      </c>
      <c r="C4" s="1">
        <v>46036</v>
      </c>
      <c r="D4" s="1">
        <v>46041</v>
      </c>
      <c r="E4" t="s">
        <v>49</v>
      </c>
      <c r="F4" t="s">
        <v>50</v>
      </c>
      <c r="G4" t="s">
        <v>51</v>
      </c>
      <c r="H4">
        <v>1436</v>
      </c>
      <c r="I4" t="s">
        <v>30</v>
      </c>
      <c r="J4">
        <v>1</v>
      </c>
      <c r="K4">
        <v>15796</v>
      </c>
      <c r="L4">
        <v>8</v>
      </c>
      <c r="M4" t="s">
        <v>52</v>
      </c>
      <c r="N4">
        <v>2</v>
      </c>
      <c r="O4">
        <v>4.9000000000000004</v>
      </c>
      <c r="P4" t="s">
        <v>53</v>
      </c>
      <c r="Q4" t="s">
        <v>38</v>
      </c>
      <c r="R4" t="s">
        <v>54</v>
      </c>
      <c r="S4">
        <v>3</v>
      </c>
      <c r="T4">
        <v>5</v>
      </c>
      <c r="U4">
        <v>2</v>
      </c>
      <c r="V4" t="s">
        <v>46</v>
      </c>
      <c r="W4" t="s">
        <v>55</v>
      </c>
      <c r="X4" t="s">
        <v>37</v>
      </c>
      <c r="Y4" t="s">
        <v>33</v>
      </c>
      <c r="Z4">
        <v>3.1</v>
      </c>
      <c r="AA4">
        <f t="shared" si="0"/>
        <v>11</v>
      </c>
      <c r="AB4" t="str">
        <f t="shared" si="1"/>
        <v>Yes</v>
      </c>
      <c r="AC4" t="str">
        <f t="shared" si="2"/>
        <v>Needs Improvement</v>
      </c>
    </row>
    <row r="5" spans="1:29" x14ac:dyDescent="0.3">
      <c r="A5" t="s">
        <v>56</v>
      </c>
      <c r="B5" s="1">
        <v>46107</v>
      </c>
      <c r="C5" s="1">
        <v>46107</v>
      </c>
      <c r="D5" s="1">
        <v>46109</v>
      </c>
      <c r="E5" t="s">
        <v>57</v>
      </c>
      <c r="F5" t="s">
        <v>58</v>
      </c>
      <c r="G5" t="s">
        <v>59</v>
      </c>
      <c r="H5">
        <v>363</v>
      </c>
      <c r="I5" t="s">
        <v>60</v>
      </c>
      <c r="J5">
        <v>2</v>
      </c>
      <c r="K5">
        <v>3267</v>
      </c>
      <c r="L5">
        <v>7</v>
      </c>
      <c r="M5" t="s">
        <v>61</v>
      </c>
      <c r="N5">
        <v>11</v>
      </c>
      <c r="O5">
        <v>4.7</v>
      </c>
      <c r="P5" t="s">
        <v>45</v>
      </c>
      <c r="Q5" t="s">
        <v>62</v>
      </c>
      <c r="R5" t="s">
        <v>34</v>
      </c>
      <c r="S5">
        <v>1</v>
      </c>
      <c r="T5">
        <v>2</v>
      </c>
      <c r="U5">
        <v>1</v>
      </c>
      <c r="V5" t="s">
        <v>46</v>
      </c>
      <c r="W5" t="s">
        <v>55</v>
      </c>
      <c r="X5" t="s">
        <v>63</v>
      </c>
      <c r="Y5" t="s">
        <v>33</v>
      </c>
      <c r="Z5">
        <v>4.3</v>
      </c>
      <c r="AA5">
        <f t="shared" si="0"/>
        <v>9</v>
      </c>
      <c r="AB5" t="str">
        <f t="shared" si="1"/>
        <v>Yes</v>
      </c>
      <c r="AC5" t="str">
        <f t="shared" si="2"/>
        <v>Needs Improvement</v>
      </c>
    </row>
    <row r="6" spans="1:29" x14ac:dyDescent="0.3">
      <c r="A6" t="s">
        <v>64</v>
      </c>
      <c r="B6" s="1">
        <v>46091</v>
      </c>
      <c r="C6" s="1">
        <v>46093</v>
      </c>
      <c r="D6" s="1">
        <v>46095</v>
      </c>
      <c r="E6" t="s">
        <v>40</v>
      </c>
      <c r="F6" t="s">
        <v>41</v>
      </c>
      <c r="G6" t="s">
        <v>42</v>
      </c>
      <c r="H6">
        <v>534</v>
      </c>
      <c r="I6" t="s">
        <v>43</v>
      </c>
      <c r="J6">
        <v>7</v>
      </c>
      <c r="K6">
        <v>4272</v>
      </c>
      <c r="L6">
        <v>10</v>
      </c>
      <c r="M6" t="s">
        <v>65</v>
      </c>
      <c r="N6">
        <v>9</v>
      </c>
      <c r="O6">
        <v>3.4</v>
      </c>
      <c r="P6" t="s">
        <v>66</v>
      </c>
      <c r="Q6" t="s">
        <v>38</v>
      </c>
      <c r="R6" t="s">
        <v>67</v>
      </c>
      <c r="S6">
        <v>1</v>
      </c>
      <c r="T6">
        <v>2</v>
      </c>
      <c r="U6">
        <v>1</v>
      </c>
      <c r="V6" t="s">
        <v>46</v>
      </c>
      <c r="W6" t="s">
        <v>68</v>
      </c>
      <c r="X6" t="s">
        <v>47</v>
      </c>
      <c r="Y6" t="s">
        <v>38</v>
      </c>
      <c r="Z6">
        <v>3.4</v>
      </c>
      <c r="AA6">
        <f t="shared" si="0"/>
        <v>8</v>
      </c>
      <c r="AB6" t="str">
        <f t="shared" si="1"/>
        <v>Yes</v>
      </c>
      <c r="AC6" t="str">
        <f t="shared" si="2"/>
        <v>Needs Improvement</v>
      </c>
    </row>
    <row r="7" spans="1:29" x14ac:dyDescent="0.3">
      <c r="A7" t="s">
        <v>69</v>
      </c>
      <c r="B7" s="1">
        <v>46143</v>
      </c>
      <c r="C7" s="1">
        <v>46145</v>
      </c>
      <c r="D7" s="1">
        <v>46149</v>
      </c>
      <c r="E7" t="s">
        <v>49</v>
      </c>
      <c r="F7" t="s">
        <v>50</v>
      </c>
      <c r="G7" t="s">
        <v>51</v>
      </c>
      <c r="H7">
        <v>635</v>
      </c>
      <c r="I7" t="s">
        <v>43</v>
      </c>
      <c r="J7">
        <v>7</v>
      </c>
      <c r="K7">
        <v>6985</v>
      </c>
      <c r="L7">
        <v>8</v>
      </c>
      <c r="M7" t="s">
        <v>70</v>
      </c>
      <c r="N7">
        <v>5</v>
      </c>
      <c r="O7">
        <v>3.3</v>
      </c>
      <c r="P7" t="s">
        <v>66</v>
      </c>
      <c r="Q7" t="s">
        <v>33</v>
      </c>
      <c r="R7" t="s">
        <v>54</v>
      </c>
      <c r="S7">
        <v>1</v>
      </c>
      <c r="T7">
        <v>4</v>
      </c>
      <c r="U7">
        <v>3</v>
      </c>
      <c r="V7" t="s">
        <v>46</v>
      </c>
      <c r="W7" t="s">
        <v>68</v>
      </c>
      <c r="X7" t="s">
        <v>37</v>
      </c>
      <c r="Y7" t="s">
        <v>38</v>
      </c>
      <c r="Z7">
        <v>4</v>
      </c>
      <c r="AA7">
        <f t="shared" si="0"/>
        <v>11</v>
      </c>
      <c r="AB7" t="str">
        <f t="shared" si="1"/>
        <v>Yes</v>
      </c>
      <c r="AC7" t="str">
        <f t="shared" si="2"/>
        <v>Needs Improvement</v>
      </c>
    </row>
    <row r="8" spans="1:29" x14ac:dyDescent="0.3">
      <c r="A8" t="s">
        <v>71</v>
      </c>
      <c r="B8" s="1">
        <v>46034</v>
      </c>
      <c r="C8" s="1">
        <v>46034</v>
      </c>
      <c r="D8" s="1">
        <v>46035</v>
      </c>
      <c r="E8" t="s">
        <v>72</v>
      </c>
      <c r="F8" t="s">
        <v>73</v>
      </c>
      <c r="G8" t="s">
        <v>74</v>
      </c>
      <c r="H8">
        <v>513</v>
      </c>
      <c r="I8" t="s">
        <v>60</v>
      </c>
      <c r="J8">
        <v>7</v>
      </c>
      <c r="K8">
        <v>5130</v>
      </c>
      <c r="L8">
        <v>5</v>
      </c>
      <c r="M8" t="s">
        <v>75</v>
      </c>
      <c r="N8">
        <v>7</v>
      </c>
      <c r="O8">
        <v>4.2</v>
      </c>
      <c r="P8" t="s">
        <v>53</v>
      </c>
      <c r="Q8" t="s">
        <v>33</v>
      </c>
      <c r="R8" t="s">
        <v>34</v>
      </c>
      <c r="S8">
        <v>1</v>
      </c>
      <c r="T8">
        <v>1</v>
      </c>
      <c r="U8">
        <v>0</v>
      </c>
      <c r="V8" t="s">
        <v>35</v>
      </c>
      <c r="W8" t="s">
        <v>55</v>
      </c>
      <c r="X8" t="s">
        <v>76</v>
      </c>
      <c r="Y8" t="s">
        <v>62</v>
      </c>
      <c r="Z8">
        <v>4.5</v>
      </c>
      <c r="AA8">
        <f t="shared" si="0"/>
        <v>10</v>
      </c>
      <c r="AB8" t="str">
        <f t="shared" si="1"/>
        <v>No</v>
      </c>
      <c r="AC8" t="str">
        <f t="shared" si="2"/>
        <v>Efficient</v>
      </c>
    </row>
    <row r="9" spans="1:29" x14ac:dyDescent="0.3">
      <c r="A9" t="s">
        <v>77</v>
      </c>
      <c r="B9" s="1">
        <v>46066</v>
      </c>
      <c r="C9" s="1">
        <v>46066</v>
      </c>
      <c r="D9" s="1">
        <v>46072</v>
      </c>
      <c r="E9" t="s">
        <v>57</v>
      </c>
      <c r="F9" t="s">
        <v>58</v>
      </c>
      <c r="G9" t="s">
        <v>59</v>
      </c>
      <c r="H9">
        <v>1090</v>
      </c>
      <c r="I9" t="s">
        <v>60</v>
      </c>
      <c r="J9">
        <v>8</v>
      </c>
      <c r="K9">
        <v>6540</v>
      </c>
      <c r="L9">
        <v>10</v>
      </c>
      <c r="M9" t="s">
        <v>78</v>
      </c>
      <c r="N9">
        <v>5</v>
      </c>
      <c r="O9">
        <v>4.9000000000000004</v>
      </c>
      <c r="P9" t="s">
        <v>45</v>
      </c>
      <c r="Q9" t="s">
        <v>33</v>
      </c>
      <c r="R9" t="s">
        <v>67</v>
      </c>
      <c r="S9">
        <v>2</v>
      </c>
      <c r="T9">
        <v>6</v>
      </c>
      <c r="U9">
        <v>4</v>
      </c>
      <c r="V9" t="s">
        <v>46</v>
      </c>
      <c r="W9" t="s">
        <v>55</v>
      </c>
      <c r="X9" t="s">
        <v>37</v>
      </c>
      <c r="Y9" t="s">
        <v>38</v>
      </c>
      <c r="Z9">
        <v>3.7</v>
      </c>
      <c r="AA9">
        <f t="shared" si="0"/>
        <v>6</v>
      </c>
      <c r="AB9" t="str">
        <f t="shared" si="1"/>
        <v>Yes</v>
      </c>
      <c r="AC9" t="str">
        <f t="shared" si="2"/>
        <v>Needs Improvement</v>
      </c>
    </row>
    <row r="10" spans="1:29" x14ac:dyDescent="0.3">
      <c r="A10" t="s">
        <v>79</v>
      </c>
      <c r="B10" s="1">
        <v>46043</v>
      </c>
      <c r="C10" s="1">
        <v>46045</v>
      </c>
      <c r="D10" s="1">
        <v>46050</v>
      </c>
      <c r="E10" t="s">
        <v>27</v>
      </c>
      <c r="F10" t="s">
        <v>28</v>
      </c>
      <c r="G10" t="s">
        <v>29</v>
      </c>
      <c r="H10">
        <v>1426</v>
      </c>
      <c r="I10" t="s">
        <v>30</v>
      </c>
      <c r="J10">
        <v>8</v>
      </c>
      <c r="K10">
        <v>8556</v>
      </c>
      <c r="L10">
        <v>5</v>
      </c>
      <c r="M10" t="s">
        <v>80</v>
      </c>
      <c r="N10">
        <v>15</v>
      </c>
      <c r="O10">
        <v>5</v>
      </c>
      <c r="P10" t="s">
        <v>66</v>
      </c>
      <c r="Q10" t="s">
        <v>38</v>
      </c>
      <c r="R10" t="s">
        <v>67</v>
      </c>
      <c r="S10">
        <v>3</v>
      </c>
      <c r="T10">
        <v>5</v>
      </c>
      <c r="U10">
        <v>2</v>
      </c>
      <c r="V10" t="s">
        <v>46</v>
      </c>
      <c r="W10" t="s">
        <v>36</v>
      </c>
      <c r="X10" t="s">
        <v>63</v>
      </c>
      <c r="Y10" t="s">
        <v>33</v>
      </c>
      <c r="Z10">
        <v>4</v>
      </c>
      <c r="AA10">
        <f t="shared" si="0"/>
        <v>6</v>
      </c>
      <c r="AB10" t="str">
        <f t="shared" si="1"/>
        <v>Yes</v>
      </c>
      <c r="AC10" t="str">
        <f t="shared" si="2"/>
        <v>Needs Improvement</v>
      </c>
    </row>
    <row r="11" spans="1:29" x14ac:dyDescent="0.3">
      <c r="A11" t="s">
        <v>81</v>
      </c>
      <c r="B11" s="1">
        <v>46031</v>
      </c>
      <c r="C11" s="1">
        <v>46033</v>
      </c>
      <c r="D11" s="1">
        <v>46036</v>
      </c>
      <c r="E11" t="s">
        <v>82</v>
      </c>
      <c r="F11" t="s">
        <v>83</v>
      </c>
      <c r="G11" t="s">
        <v>84</v>
      </c>
      <c r="H11">
        <v>462</v>
      </c>
      <c r="I11" t="s">
        <v>43</v>
      </c>
      <c r="J11">
        <v>9</v>
      </c>
      <c r="K11">
        <v>3234</v>
      </c>
      <c r="L11">
        <v>7</v>
      </c>
      <c r="M11" t="s">
        <v>85</v>
      </c>
      <c r="N11">
        <v>14</v>
      </c>
      <c r="O11">
        <v>4.2</v>
      </c>
      <c r="P11" t="s">
        <v>45</v>
      </c>
      <c r="Q11" t="s">
        <v>33</v>
      </c>
      <c r="R11" t="s">
        <v>54</v>
      </c>
      <c r="S11">
        <v>1</v>
      </c>
      <c r="T11">
        <v>3</v>
      </c>
      <c r="U11">
        <v>2</v>
      </c>
      <c r="V11" t="s">
        <v>46</v>
      </c>
      <c r="W11" t="s">
        <v>68</v>
      </c>
      <c r="X11" t="s">
        <v>47</v>
      </c>
      <c r="Y11" t="s">
        <v>62</v>
      </c>
      <c r="Z11">
        <v>4.8</v>
      </c>
      <c r="AA11">
        <f t="shared" si="0"/>
        <v>7</v>
      </c>
      <c r="AB11" t="str">
        <f t="shared" si="1"/>
        <v>Yes</v>
      </c>
      <c r="AC11" t="str">
        <f t="shared" si="2"/>
        <v>Needs Improvement</v>
      </c>
    </row>
    <row r="12" spans="1:29" x14ac:dyDescent="0.3">
      <c r="A12" t="s">
        <v>86</v>
      </c>
      <c r="B12" s="1">
        <v>46080</v>
      </c>
      <c r="C12" s="1">
        <v>46080</v>
      </c>
      <c r="D12" s="1">
        <v>46083</v>
      </c>
      <c r="E12" t="s">
        <v>40</v>
      </c>
      <c r="F12" t="s">
        <v>41</v>
      </c>
      <c r="G12" t="s">
        <v>42</v>
      </c>
      <c r="H12">
        <v>660</v>
      </c>
      <c r="I12" t="s">
        <v>87</v>
      </c>
      <c r="J12">
        <v>6</v>
      </c>
      <c r="K12">
        <v>3960</v>
      </c>
      <c r="L12">
        <v>9</v>
      </c>
      <c r="M12" t="s">
        <v>88</v>
      </c>
      <c r="N12">
        <v>4</v>
      </c>
      <c r="O12">
        <v>4.2</v>
      </c>
      <c r="P12" t="s">
        <v>32</v>
      </c>
      <c r="Q12" t="s">
        <v>38</v>
      </c>
      <c r="R12" t="s">
        <v>54</v>
      </c>
      <c r="S12">
        <v>1</v>
      </c>
      <c r="T12">
        <v>3</v>
      </c>
      <c r="U12">
        <v>2</v>
      </c>
      <c r="V12" t="s">
        <v>46</v>
      </c>
      <c r="W12" t="s">
        <v>36</v>
      </c>
      <c r="X12" t="s">
        <v>37</v>
      </c>
      <c r="Y12" t="s">
        <v>38</v>
      </c>
      <c r="Z12">
        <v>4.8</v>
      </c>
      <c r="AA12">
        <f t="shared" si="0"/>
        <v>6</v>
      </c>
      <c r="AB12" t="str">
        <f t="shared" si="1"/>
        <v>Yes</v>
      </c>
      <c r="AC12" t="str">
        <f t="shared" si="2"/>
        <v>Needs Improvement</v>
      </c>
    </row>
    <row r="13" spans="1:29" x14ac:dyDescent="0.3">
      <c r="A13" t="s">
        <v>89</v>
      </c>
      <c r="B13" s="1">
        <v>46133</v>
      </c>
      <c r="C13" s="1">
        <v>46134</v>
      </c>
      <c r="D13" s="1">
        <v>46136</v>
      </c>
      <c r="E13" t="s">
        <v>72</v>
      </c>
      <c r="F13" t="s">
        <v>73</v>
      </c>
      <c r="G13" t="s">
        <v>74</v>
      </c>
      <c r="H13">
        <v>1252</v>
      </c>
      <c r="I13" t="s">
        <v>60</v>
      </c>
      <c r="J13">
        <v>5</v>
      </c>
      <c r="K13">
        <v>13772</v>
      </c>
      <c r="L13">
        <v>8</v>
      </c>
      <c r="M13" t="s">
        <v>90</v>
      </c>
      <c r="N13">
        <v>9</v>
      </c>
      <c r="O13">
        <v>3.3</v>
      </c>
      <c r="P13" t="s">
        <v>53</v>
      </c>
      <c r="Q13" t="s">
        <v>38</v>
      </c>
      <c r="R13" t="s">
        <v>34</v>
      </c>
      <c r="S13">
        <v>2</v>
      </c>
      <c r="T13">
        <v>2</v>
      </c>
      <c r="U13">
        <v>0</v>
      </c>
      <c r="V13" t="s">
        <v>35</v>
      </c>
      <c r="W13" t="s">
        <v>36</v>
      </c>
      <c r="X13" t="s">
        <v>63</v>
      </c>
      <c r="Y13" t="s">
        <v>33</v>
      </c>
      <c r="Z13">
        <v>3.9</v>
      </c>
      <c r="AA13">
        <f t="shared" si="0"/>
        <v>11</v>
      </c>
      <c r="AB13" t="str">
        <f t="shared" si="1"/>
        <v>No</v>
      </c>
      <c r="AC13" t="str">
        <f t="shared" si="2"/>
        <v>Efficient</v>
      </c>
    </row>
    <row r="14" spans="1:29" x14ac:dyDescent="0.3">
      <c r="A14" t="s">
        <v>91</v>
      </c>
      <c r="B14" s="1">
        <v>46077</v>
      </c>
      <c r="C14" s="1">
        <v>46078</v>
      </c>
      <c r="D14" s="1">
        <v>46081</v>
      </c>
      <c r="E14" t="s">
        <v>92</v>
      </c>
      <c r="F14" t="s">
        <v>93</v>
      </c>
      <c r="G14" t="s">
        <v>94</v>
      </c>
      <c r="H14">
        <v>1693</v>
      </c>
      <c r="I14" t="s">
        <v>87</v>
      </c>
      <c r="J14">
        <v>2</v>
      </c>
      <c r="K14">
        <v>10158</v>
      </c>
      <c r="L14">
        <v>8</v>
      </c>
      <c r="M14" t="s">
        <v>78</v>
      </c>
      <c r="N14">
        <v>6</v>
      </c>
      <c r="O14">
        <v>4.5999999999999996</v>
      </c>
      <c r="P14" t="s">
        <v>32</v>
      </c>
      <c r="Q14" t="s">
        <v>38</v>
      </c>
      <c r="R14" t="s">
        <v>67</v>
      </c>
      <c r="S14">
        <v>3</v>
      </c>
      <c r="T14">
        <v>3</v>
      </c>
      <c r="U14">
        <v>0</v>
      </c>
      <c r="V14" t="s">
        <v>35</v>
      </c>
      <c r="W14" t="s">
        <v>55</v>
      </c>
      <c r="X14" t="s">
        <v>95</v>
      </c>
      <c r="Y14" t="s">
        <v>38</v>
      </c>
      <c r="Z14">
        <v>3.8</v>
      </c>
      <c r="AA14">
        <f t="shared" si="0"/>
        <v>6</v>
      </c>
      <c r="AB14" t="str">
        <f t="shared" si="1"/>
        <v>No</v>
      </c>
      <c r="AC14" t="str">
        <f t="shared" si="2"/>
        <v>Efficient</v>
      </c>
    </row>
    <row r="15" spans="1:29" x14ac:dyDescent="0.3">
      <c r="A15" t="s">
        <v>96</v>
      </c>
      <c r="B15" s="1">
        <v>46058</v>
      </c>
      <c r="C15" s="1">
        <v>46059</v>
      </c>
      <c r="D15" s="1">
        <v>46061</v>
      </c>
      <c r="E15" t="s">
        <v>40</v>
      </c>
      <c r="F15" t="s">
        <v>41</v>
      </c>
      <c r="G15" t="s">
        <v>42</v>
      </c>
      <c r="H15">
        <v>354</v>
      </c>
      <c r="I15" t="s">
        <v>43</v>
      </c>
      <c r="J15">
        <v>9</v>
      </c>
      <c r="K15">
        <v>2124</v>
      </c>
      <c r="L15">
        <v>5</v>
      </c>
      <c r="M15" t="s">
        <v>97</v>
      </c>
      <c r="N15">
        <v>9</v>
      </c>
      <c r="O15">
        <v>4.7</v>
      </c>
      <c r="P15" t="s">
        <v>32</v>
      </c>
      <c r="Q15" t="s">
        <v>38</v>
      </c>
      <c r="R15" t="s">
        <v>67</v>
      </c>
      <c r="S15">
        <v>1</v>
      </c>
      <c r="T15">
        <v>2</v>
      </c>
      <c r="U15">
        <v>1</v>
      </c>
      <c r="V15" t="s">
        <v>46</v>
      </c>
      <c r="W15" t="s">
        <v>68</v>
      </c>
      <c r="X15" t="s">
        <v>95</v>
      </c>
      <c r="Y15" t="s">
        <v>38</v>
      </c>
      <c r="Z15">
        <v>4.7</v>
      </c>
      <c r="AA15">
        <f t="shared" si="0"/>
        <v>6</v>
      </c>
      <c r="AB15" t="str">
        <f t="shared" si="1"/>
        <v>Yes</v>
      </c>
      <c r="AC15" t="str">
        <f t="shared" si="2"/>
        <v>Needs Improvement</v>
      </c>
    </row>
    <row r="16" spans="1:29" x14ac:dyDescent="0.3">
      <c r="A16" t="s">
        <v>98</v>
      </c>
      <c r="B16" s="1">
        <v>46138</v>
      </c>
      <c r="C16" s="1">
        <v>46138</v>
      </c>
      <c r="D16" s="1">
        <v>46140</v>
      </c>
      <c r="E16" t="s">
        <v>82</v>
      </c>
      <c r="F16" t="s">
        <v>83</v>
      </c>
      <c r="G16" t="s">
        <v>84</v>
      </c>
      <c r="H16">
        <v>976</v>
      </c>
      <c r="I16" t="s">
        <v>87</v>
      </c>
      <c r="J16">
        <v>7</v>
      </c>
      <c r="K16">
        <v>7808</v>
      </c>
      <c r="L16">
        <v>8</v>
      </c>
      <c r="M16" t="s">
        <v>99</v>
      </c>
      <c r="N16">
        <v>7</v>
      </c>
      <c r="O16">
        <v>4.4000000000000004</v>
      </c>
      <c r="P16" t="s">
        <v>53</v>
      </c>
      <c r="Q16" t="s">
        <v>38</v>
      </c>
      <c r="R16" t="s">
        <v>67</v>
      </c>
      <c r="S16">
        <v>2</v>
      </c>
      <c r="T16">
        <v>2</v>
      </c>
      <c r="U16">
        <v>0</v>
      </c>
      <c r="V16" t="s">
        <v>35</v>
      </c>
      <c r="W16" t="s">
        <v>36</v>
      </c>
      <c r="X16" t="s">
        <v>76</v>
      </c>
      <c r="Y16" t="s">
        <v>33</v>
      </c>
      <c r="Z16">
        <v>4.0999999999999996</v>
      </c>
      <c r="AA16">
        <f t="shared" si="0"/>
        <v>8</v>
      </c>
      <c r="AB16" t="str">
        <f t="shared" si="1"/>
        <v>No</v>
      </c>
      <c r="AC16" t="str">
        <f t="shared" si="2"/>
        <v>Efficient</v>
      </c>
    </row>
    <row r="17" spans="1:29" x14ac:dyDescent="0.3">
      <c r="A17" t="s">
        <v>100</v>
      </c>
      <c r="B17" s="1">
        <v>46118</v>
      </c>
      <c r="C17" s="1">
        <v>46119</v>
      </c>
      <c r="D17" s="1">
        <v>46122</v>
      </c>
      <c r="E17" t="s">
        <v>27</v>
      </c>
      <c r="F17" t="s">
        <v>28</v>
      </c>
      <c r="G17" t="s">
        <v>29</v>
      </c>
      <c r="H17">
        <v>302</v>
      </c>
      <c r="I17" t="s">
        <v>43</v>
      </c>
      <c r="J17">
        <v>9</v>
      </c>
      <c r="K17">
        <v>3624</v>
      </c>
      <c r="L17">
        <v>9</v>
      </c>
      <c r="M17" t="s">
        <v>101</v>
      </c>
      <c r="N17">
        <v>1</v>
      </c>
      <c r="O17">
        <v>4.9000000000000004</v>
      </c>
      <c r="P17" t="s">
        <v>32</v>
      </c>
      <c r="Q17" t="s">
        <v>38</v>
      </c>
      <c r="R17" t="s">
        <v>67</v>
      </c>
      <c r="S17">
        <v>1</v>
      </c>
      <c r="T17">
        <v>3</v>
      </c>
      <c r="U17">
        <v>2</v>
      </c>
      <c r="V17" t="s">
        <v>46</v>
      </c>
      <c r="W17" t="s">
        <v>36</v>
      </c>
      <c r="X17" t="s">
        <v>37</v>
      </c>
      <c r="Y17" t="s">
        <v>62</v>
      </c>
      <c r="Z17">
        <v>3.2</v>
      </c>
      <c r="AA17">
        <f t="shared" si="0"/>
        <v>12</v>
      </c>
      <c r="AB17" t="str">
        <f t="shared" si="1"/>
        <v>Yes</v>
      </c>
      <c r="AC17" t="str">
        <f t="shared" si="2"/>
        <v>Needs Improvement</v>
      </c>
    </row>
    <row r="18" spans="1:29" x14ac:dyDescent="0.3">
      <c r="A18" t="s">
        <v>102</v>
      </c>
      <c r="B18" s="1">
        <v>46136</v>
      </c>
      <c r="C18" s="1">
        <v>46138</v>
      </c>
      <c r="D18" s="1">
        <v>46143</v>
      </c>
      <c r="E18" t="s">
        <v>40</v>
      </c>
      <c r="F18" t="s">
        <v>41</v>
      </c>
      <c r="G18" t="s">
        <v>42</v>
      </c>
      <c r="H18">
        <v>1385</v>
      </c>
      <c r="I18" t="s">
        <v>87</v>
      </c>
      <c r="J18">
        <v>10</v>
      </c>
      <c r="K18">
        <v>8310</v>
      </c>
      <c r="L18">
        <v>8</v>
      </c>
      <c r="M18" t="s">
        <v>103</v>
      </c>
      <c r="N18">
        <v>10</v>
      </c>
      <c r="O18">
        <v>4.0999999999999996</v>
      </c>
      <c r="P18" t="s">
        <v>66</v>
      </c>
      <c r="Q18" t="s">
        <v>62</v>
      </c>
      <c r="R18" t="s">
        <v>67</v>
      </c>
      <c r="S18">
        <v>3</v>
      </c>
      <c r="T18">
        <v>5</v>
      </c>
      <c r="U18">
        <v>2</v>
      </c>
      <c r="V18" t="s">
        <v>46</v>
      </c>
      <c r="W18" t="s">
        <v>36</v>
      </c>
      <c r="X18" t="s">
        <v>47</v>
      </c>
      <c r="Y18" t="s">
        <v>62</v>
      </c>
      <c r="Z18">
        <v>3.3</v>
      </c>
      <c r="AA18">
        <f t="shared" si="0"/>
        <v>6</v>
      </c>
      <c r="AB18" t="str">
        <f t="shared" si="1"/>
        <v>Yes</v>
      </c>
      <c r="AC18" t="str">
        <f t="shared" si="2"/>
        <v>Needs Improvement</v>
      </c>
    </row>
    <row r="19" spans="1:29" x14ac:dyDescent="0.3">
      <c r="A19" t="s">
        <v>104</v>
      </c>
      <c r="B19" s="1">
        <v>46105</v>
      </c>
      <c r="C19" s="1">
        <v>46106</v>
      </c>
      <c r="D19" s="1">
        <v>46107</v>
      </c>
      <c r="E19" t="s">
        <v>92</v>
      </c>
      <c r="F19" t="s">
        <v>93</v>
      </c>
      <c r="G19" t="s">
        <v>94</v>
      </c>
      <c r="H19">
        <v>847</v>
      </c>
      <c r="I19" t="s">
        <v>87</v>
      </c>
      <c r="J19">
        <v>1</v>
      </c>
      <c r="K19">
        <v>7623</v>
      </c>
      <c r="L19">
        <v>9</v>
      </c>
      <c r="M19" t="s">
        <v>105</v>
      </c>
      <c r="N19">
        <v>2</v>
      </c>
      <c r="O19">
        <v>3.1</v>
      </c>
      <c r="P19" t="s">
        <v>45</v>
      </c>
      <c r="Q19" t="s">
        <v>33</v>
      </c>
      <c r="R19" t="s">
        <v>34</v>
      </c>
      <c r="S19">
        <v>1</v>
      </c>
      <c r="T19">
        <v>1</v>
      </c>
      <c r="U19">
        <v>0</v>
      </c>
      <c r="V19" t="s">
        <v>35</v>
      </c>
      <c r="W19" t="s">
        <v>36</v>
      </c>
      <c r="X19" t="s">
        <v>47</v>
      </c>
      <c r="Y19" t="s">
        <v>62</v>
      </c>
      <c r="Z19">
        <v>3.3</v>
      </c>
      <c r="AA19">
        <f t="shared" si="0"/>
        <v>9</v>
      </c>
      <c r="AB19" t="str">
        <f t="shared" si="1"/>
        <v>No</v>
      </c>
      <c r="AC19" t="str">
        <f t="shared" si="2"/>
        <v>Efficient</v>
      </c>
    </row>
    <row r="20" spans="1:29" x14ac:dyDescent="0.3">
      <c r="A20" t="s">
        <v>106</v>
      </c>
      <c r="B20" s="1">
        <v>46129</v>
      </c>
      <c r="C20" s="1">
        <v>46131</v>
      </c>
      <c r="D20" s="1">
        <v>46135</v>
      </c>
      <c r="E20" t="s">
        <v>57</v>
      </c>
      <c r="F20" t="s">
        <v>58</v>
      </c>
      <c r="G20" t="s">
        <v>59</v>
      </c>
      <c r="H20">
        <v>1452</v>
      </c>
      <c r="I20" t="s">
        <v>87</v>
      </c>
      <c r="J20">
        <v>9</v>
      </c>
      <c r="K20">
        <v>11616</v>
      </c>
      <c r="L20">
        <v>10</v>
      </c>
      <c r="M20" t="s">
        <v>107</v>
      </c>
      <c r="N20">
        <v>15</v>
      </c>
      <c r="O20">
        <v>3.3</v>
      </c>
      <c r="P20" t="s">
        <v>32</v>
      </c>
      <c r="Q20" t="s">
        <v>38</v>
      </c>
      <c r="R20" t="s">
        <v>54</v>
      </c>
      <c r="S20">
        <v>3</v>
      </c>
      <c r="T20">
        <v>4</v>
      </c>
      <c r="U20">
        <v>1</v>
      </c>
      <c r="V20" t="s">
        <v>46</v>
      </c>
      <c r="W20" t="s">
        <v>68</v>
      </c>
      <c r="X20" t="s">
        <v>47</v>
      </c>
      <c r="Y20" t="s">
        <v>33</v>
      </c>
      <c r="Z20">
        <v>3.4</v>
      </c>
      <c r="AA20">
        <f t="shared" si="0"/>
        <v>8</v>
      </c>
      <c r="AB20" t="str">
        <f t="shared" si="1"/>
        <v>Yes</v>
      </c>
      <c r="AC20" t="str">
        <f t="shared" si="2"/>
        <v>Needs Improvement</v>
      </c>
    </row>
    <row r="21" spans="1:29" x14ac:dyDescent="0.3">
      <c r="A21" t="s">
        <v>108</v>
      </c>
      <c r="B21" s="1">
        <v>46066</v>
      </c>
      <c r="C21" s="1">
        <v>46066</v>
      </c>
      <c r="D21" s="1">
        <v>46068</v>
      </c>
      <c r="E21" t="s">
        <v>57</v>
      </c>
      <c r="F21" t="s">
        <v>58</v>
      </c>
      <c r="G21" t="s">
        <v>59</v>
      </c>
      <c r="H21">
        <v>1235</v>
      </c>
      <c r="I21" t="s">
        <v>43</v>
      </c>
      <c r="J21">
        <v>5</v>
      </c>
      <c r="K21">
        <v>14820</v>
      </c>
      <c r="L21">
        <v>5</v>
      </c>
      <c r="M21" t="s">
        <v>109</v>
      </c>
      <c r="N21">
        <v>11</v>
      </c>
      <c r="O21">
        <v>3.8</v>
      </c>
      <c r="P21" t="s">
        <v>66</v>
      </c>
      <c r="Q21" t="s">
        <v>38</v>
      </c>
      <c r="R21" t="s">
        <v>67</v>
      </c>
      <c r="S21">
        <v>2</v>
      </c>
      <c r="T21">
        <v>2</v>
      </c>
      <c r="U21">
        <v>0</v>
      </c>
      <c r="V21" t="s">
        <v>35</v>
      </c>
      <c r="W21" t="s">
        <v>55</v>
      </c>
      <c r="X21" t="s">
        <v>47</v>
      </c>
      <c r="Y21" t="s">
        <v>38</v>
      </c>
      <c r="Z21">
        <v>4.5</v>
      </c>
      <c r="AA21">
        <f t="shared" si="0"/>
        <v>12</v>
      </c>
      <c r="AB21" t="str">
        <f t="shared" si="1"/>
        <v>No</v>
      </c>
      <c r="AC21" t="str">
        <f t="shared" si="2"/>
        <v>Efficient</v>
      </c>
    </row>
    <row r="22" spans="1:29" x14ac:dyDescent="0.3">
      <c r="A22" t="s">
        <v>110</v>
      </c>
      <c r="B22" s="1">
        <v>46093</v>
      </c>
      <c r="C22" s="1">
        <v>46095</v>
      </c>
      <c r="D22" s="1">
        <v>46098</v>
      </c>
      <c r="E22" t="s">
        <v>111</v>
      </c>
      <c r="F22" t="s">
        <v>27</v>
      </c>
      <c r="G22" t="s">
        <v>112</v>
      </c>
      <c r="H22">
        <v>1348</v>
      </c>
      <c r="I22" t="s">
        <v>87</v>
      </c>
      <c r="J22">
        <v>2</v>
      </c>
      <c r="K22">
        <v>8088</v>
      </c>
      <c r="L22">
        <v>10</v>
      </c>
      <c r="M22" t="s">
        <v>70</v>
      </c>
      <c r="N22">
        <v>9</v>
      </c>
      <c r="O22">
        <v>3.1</v>
      </c>
      <c r="P22" t="s">
        <v>66</v>
      </c>
      <c r="Q22" t="s">
        <v>33</v>
      </c>
      <c r="R22" t="s">
        <v>54</v>
      </c>
      <c r="S22">
        <v>2</v>
      </c>
      <c r="T22">
        <v>3</v>
      </c>
      <c r="U22">
        <v>1</v>
      </c>
      <c r="V22" t="s">
        <v>46</v>
      </c>
      <c r="W22" t="s">
        <v>36</v>
      </c>
      <c r="X22" t="s">
        <v>47</v>
      </c>
      <c r="Y22" t="s">
        <v>62</v>
      </c>
      <c r="Z22">
        <v>4.8</v>
      </c>
      <c r="AA22">
        <f t="shared" si="0"/>
        <v>6</v>
      </c>
      <c r="AB22" t="str">
        <f t="shared" si="1"/>
        <v>Yes</v>
      </c>
      <c r="AC22" t="str">
        <f t="shared" si="2"/>
        <v>Needs Improvement</v>
      </c>
    </row>
    <row r="23" spans="1:29" x14ac:dyDescent="0.3">
      <c r="A23" t="s">
        <v>113</v>
      </c>
      <c r="B23" s="1">
        <v>46124</v>
      </c>
      <c r="C23" s="1">
        <v>46124</v>
      </c>
      <c r="D23" s="1">
        <v>46125</v>
      </c>
      <c r="E23" t="s">
        <v>49</v>
      </c>
      <c r="F23" t="s">
        <v>50</v>
      </c>
      <c r="G23" t="s">
        <v>51</v>
      </c>
      <c r="H23">
        <v>630</v>
      </c>
      <c r="I23" t="s">
        <v>60</v>
      </c>
      <c r="J23">
        <v>2</v>
      </c>
      <c r="K23">
        <v>5040</v>
      </c>
      <c r="L23">
        <v>9</v>
      </c>
      <c r="M23" t="s">
        <v>114</v>
      </c>
      <c r="N23">
        <v>10</v>
      </c>
      <c r="O23">
        <v>4.5</v>
      </c>
      <c r="P23" t="s">
        <v>45</v>
      </c>
      <c r="Q23" t="s">
        <v>38</v>
      </c>
      <c r="R23" t="s">
        <v>67</v>
      </c>
      <c r="S23">
        <v>1</v>
      </c>
      <c r="T23">
        <v>1</v>
      </c>
      <c r="U23">
        <v>0</v>
      </c>
      <c r="V23" t="s">
        <v>35</v>
      </c>
      <c r="W23" t="s">
        <v>36</v>
      </c>
      <c r="X23" t="s">
        <v>47</v>
      </c>
      <c r="Y23" t="s">
        <v>62</v>
      </c>
      <c r="Z23">
        <v>4.5999999999999996</v>
      </c>
      <c r="AA23">
        <f t="shared" si="0"/>
        <v>8</v>
      </c>
      <c r="AB23" t="str">
        <f t="shared" si="1"/>
        <v>No</v>
      </c>
      <c r="AC23" t="str">
        <f t="shared" si="2"/>
        <v>Efficient</v>
      </c>
    </row>
    <row r="24" spans="1:29" x14ac:dyDescent="0.3">
      <c r="A24" t="s">
        <v>115</v>
      </c>
      <c r="B24" s="1">
        <v>46133</v>
      </c>
      <c r="C24" s="1">
        <v>46135</v>
      </c>
      <c r="D24" s="1">
        <v>46136</v>
      </c>
      <c r="E24" t="s">
        <v>40</v>
      </c>
      <c r="F24" t="s">
        <v>41</v>
      </c>
      <c r="G24" t="s">
        <v>42</v>
      </c>
      <c r="H24">
        <v>746</v>
      </c>
      <c r="I24" t="s">
        <v>60</v>
      </c>
      <c r="J24">
        <v>2</v>
      </c>
      <c r="K24">
        <v>6714</v>
      </c>
      <c r="L24">
        <v>5</v>
      </c>
      <c r="M24" t="s">
        <v>116</v>
      </c>
      <c r="N24">
        <v>4</v>
      </c>
      <c r="O24">
        <v>3.4</v>
      </c>
      <c r="P24" t="s">
        <v>53</v>
      </c>
      <c r="Q24" t="s">
        <v>62</v>
      </c>
      <c r="R24" t="s">
        <v>34</v>
      </c>
      <c r="S24">
        <v>1</v>
      </c>
      <c r="T24">
        <v>1</v>
      </c>
      <c r="U24">
        <v>0</v>
      </c>
      <c r="V24" t="s">
        <v>35</v>
      </c>
      <c r="W24" t="s">
        <v>36</v>
      </c>
      <c r="X24" t="s">
        <v>37</v>
      </c>
      <c r="Y24" t="s">
        <v>62</v>
      </c>
      <c r="Z24">
        <v>3.7</v>
      </c>
      <c r="AA24">
        <f t="shared" si="0"/>
        <v>9</v>
      </c>
      <c r="AB24" t="str">
        <f t="shared" si="1"/>
        <v>No</v>
      </c>
      <c r="AC24" t="str">
        <f t="shared" si="2"/>
        <v>Efficient</v>
      </c>
    </row>
    <row r="25" spans="1:29" x14ac:dyDescent="0.3">
      <c r="A25" t="s">
        <v>117</v>
      </c>
      <c r="B25" s="1">
        <v>46133</v>
      </c>
      <c r="C25" s="1">
        <v>46133</v>
      </c>
      <c r="D25" s="1">
        <v>46138</v>
      </c>
      <c r="E25" t="s">
        <v>57</v>
      </c>
      <c r="F25" t="s">
        <v>58</v>
      </c>
      <c r="G25" t="s">
        <v>59</v>
      </c>
      <c r="H25">
        <v>919</v>
      </c>
      <c r="I25" t="s">
        <v>43</v>
      </c>
      <c r="J25">
        <v>9</v>
      </c>
      <c r="K25">
        <v>7352</v>
      </c>
      <c r="L25">
        <v>5</v>
      </c>
      <c r="M25" t="s">
        <v>118</v>
      </c>
      <c r="N25">
        <v>15</v>
      </c>
      <c r="O25">
        <v>4.9000000000000004</v>
      </c>
      <c r="P25" t="s">
        <v>45</v>
      </c>
      <c r="Q25" t="s">
        <v>33</v>
      </c>
      <c r="R25" t="s">
        <v>34</v>
      </c>
      <c r="S25">
        <v>2</v>
      </c>
      <c r="T25">
        <v>5</v>
      </c>
      <c r="U25">
        <v>3</v>
      </c>
      <c r="V25" t="s">
        <v>46</v>
      </c>
      <c r="W25" t="s">
        <v>68</v>
      </c>
      <c r="X25" t="s">
        <v>47</v>
      </c>
      <c r="Y25" t="s">
        <v>62</v>
      </c>
      <c r="Z25">
        <v>4.2</v>
      </c>
      <c r="AA25">
        <f t="shared" si="0"/>
        <v>8</v>
      </c>
      <c r="AB25" t="str">
        <f t="shared" si="1"/>
        <v>Yes</v>
      </c>
      <c r="AC25" t="str">
        <f t="shared" si="2"/>
        <v>Needs Improvement</v>
      </c>
    </row>
    <row r="26" spans="1:29" x14ac:dyDescent="0.3">
      <c r="A26" t="s">
        <v>119</v>
      </c>
      <c r="B26" s="1">
        <v>46088</v>
      </c>
      <c r="C26" s="1">
        <v>46088</v>
      </c>
      <c r="D26" s="1">
        <v>46092</v>
      </c>
      <c r="E26" t="s">
        <v>111</v>
      </c>
      <c r="F26" t="s">
        <v>27</v>
      </c>
      <c r="G26" t="s">
        <v>112</v>
      </c>
      <c r="H26">
        <v>1380</v>
      </c>
      <c r="I26" t="s">
        <v>60</v>
      </c>
      <c r="J26">
        <v>5</v>
      </c>
      <c r="K26">
        <v>8280</v>
      </c>
      <c r="L26">
        <v>10</v>
      </c>
      <c r="M26" t="s">
        <v>120</v>
      </c>
      <c r="N26">
        <v>1</v>
      </c>
      <c r="O26">
        <v>4</v>
      </c>
      <c r="P26" t="s">
        <v>45</v>
      </c>
      <c r="Q26" t="s">
        <v>62</v>
      </c>
      <c r="R26" t="s">
        <v>34</v>
      </c>
      <c r="S26">
        <v>3</v>
      </c>
      <c r="T26">
        <v>4</v>
      </c>
      <c r="U26">
        <v>1</v>
      </c>
      <c r="V26" t="s">
        <v>46</v>
      </c>
      <c r="W26" t="s">
        <v>55</v>
      </c>
      <c r="X26" t="s">
        <v>47</v>
      </c>
      <c r="Y26" t="s">
        <v>33</v>
      </c>
      <c r="Z26">
        <v>4.7</v>
      </c>
      <c r="AA26">
        <f t="shared" si="0"/>
        <v>6</v>
      </c>
      <c r="AB26" t="str">
        <f t="shared" si="1"/>
        <v>Yes</v>
      </c>
      <c r="AC26" t="str">
        <f t="shared" si="2"/>
        <v>Needs Improvement</v>
      </c>
    </row>
    <row r="27" spans="1:29" x14ac:dyDescent="0.3">
      <c r="A27" t="s">
        <v>121</v>
      </c>
      <c r="B27" s="1">
        <v>46115</v>
      </c>
      <c r="C27" s="1">
        <v>46116</v>
      </c>
      <c r="D27" s="1">
        <v>46123</v>
      </c>
      <c r="E27" t="s">
        <v>57</v>
      </c>
      <c r="F27" t="s">
        <v>58</v>
      </c>
      <c r="G27" t="s">
        <v>59</v>
      </c>
      <c r="H27">
        <v>1565</v>
      </c>
      <c r="I27" t="s">
        <v>43</v>
      </c>
      <c r="J27">
        <v>6</v>
      </c>
      <c r="K27">
        <v>14085</v>
      </c>
      <c r="L27">
        <v>10</v>
      </c>
      <c r="M27" t="s">
        <v>99</v>
      </c>
      <c r="N27">
        <v>9</v>
      </c>
      <c r="O27">
        <v>3.3</v>
      </c>
      <c r="P27" t="s">
        <v>53</v>
      </c>
      <c r="Q27" t="s">
        <v>33</v>
      </c>
      <c r="R27" t="s">
        <v>34</v>
      </c>
      <c r="S27">
        <v>3</v>
      </c>
      <c r="T27">
        <v>7</v>
      </c>
      <c r="U27">
        <v>4</v>
      </c>
      <c r="V27" t="s">
        <v>46</v>
      </c>
      <c r="W27" t="s">
        <v>68</v>
      </c>
      <c r="X27" t="s">
        <v>95</v>
      </c>
      <c r="Y27" t="s">
        <v>33</v>
      </c>
      <c r="Z27">
        <v>4.7</v>
      </c>
      <c r="AA27">
        <f t="shared" si="0"/>
        <v>9</v>
      </c>
      <c r="AB27" t="str">
        <f t="shared" si="1"/>
        <v>Yes</v>
      </c>
      <c r="AC27" t="str">
        <f t="shared" si="2"/>
        <v>Needs Improvement</v>
      </c>
    </row>
    <row r="28" spans="1:29" x14ac:dyDescent="0.3">
      <c r="A28" t="s">
        <v>122</v>
      </c>
      <c r="B28" s="1">
        <v>46061</v>
      </c>
      <c r="C28" s="1">
        <v>46062</v>
      </c>
      <c r="D28" s="1">
        <v>46069</v>
      </c>
      <c r="E28" t="s">
        <v>40</v>
      </c>
      <c r="F28" t="s">
        <v>41</v>
      </c>
      <c r="G28" t="s">
        <v>42</v>
      </c>
      <c r="H28">
        <v>1080</v>
      </c>
      <c r="I28" t="s">
        <v>30</v>
      </c>
      <c r="J28">
        <v>8</v>
      </c>
      <c r="K28">
        <v>9720</v>
      </c>
      <c r="L28">
        <v>8</v>
      </c>
      <c r="M28" t="s">
        <v>123</v>
      </c>
      <c r="N28">
        <v>4</v>
      </c>
      <c r="O28">
        <v>4</v>
      </c>
      <c r="P28" t="s">
        <v>45</v>
      </c>
      <c r="Q28" t="s">
        <v>33</v>
      </c>
      <c r="R28" t="s">
        <v>67</v>
      </c>
      <c r="S28">
        <v>2</v>
      </c>
      <c r="T28">
        <v>7</v>
      </c>
      <c r="U28">
        <v>5</v>
      </c>
      <c r="V28" t="s">
        <v>46</v>
      </c>
      <c r="W28" t="s">
        <v>55</v>
      </c>
      <c r="X28" t="s">
        <v>76</v>
      </c>
      <c r="Y28" t="s">
        <v>62</v>
      </c>
      <c r="Z28">
        <v>3.2</v>
      </c>
      <c r="AA28">
        <f t="shared" si="0"/>
        <v>9</v>
      </c>
      <c r="AB28" t="str">
        <f t="shared" si="1"/>
        <v>Yes</v>
      </c>
      <c r="AC28" t="str">
        <f t="shared" si="2"/>
        <v>Needs Improvement</v>
      </c>
    </row>
    <row r="29" spans="1:29" x14ac:dyDescent="0.3">
      <c r="A29" t="s">
        <v>124</v>
      </c>
      <c r="B29" s="1">
        <v>46119</v>
      </c>
      <c r="C29" s="1">
        <v>46119</v>
      </c>
      <c r="D29" s="1">
        <v>46120</v>
      </c>
      <c r="E29" t="s">
        <v>57</v>
      </c>
      <c r="F29" t="s">
        <v>58</v>
      </c>
      <c r="G29" t="s">
        <v>59</v>
      </c>
      <c r="H29">
        <v>660</v>
      </c>
      <c r="I29" t="s">
        <v>60</v>
      </c>
      <c r="J29">
        <v>3</v>
      </c>
      <c r="K29">
        <v>3960</v>
      </c>
      <c r="L29">
        <v>5</v>
      </c>
      <c r="M29" t="s">
        <v>125</v>
      </c>
      <c r="N29">
        <v>8</v>
      </c>
      <c r="O29">
        <v>4.2</v>
      </c>
      <c r="P29" t="s">
        <v>32</v>
      </c>
      <c r="Q29" t="s">
        <v>62</v>
      </c>
      <c r="R29" t="s">
        <v>34</v>
      </c>
      <c r="S29">
        <v>1</v>
      </c>
      <c r="T29">
        <v>1</v>
      </c>
      <c r="U29">
        <v>0</v>
      </c>
      <c r="V29" t="s">
        <v>35</v>
      </c>
      <c r="W29" t="s">
        <v>55</v>
      </c>
      <c r="X29" t="s">
        <v>95</v>
      </c>
      <c r="Y29" t="s">
        <v>62</v>
      </c>
      <c r="Z29">
        <v>3.8</v>
      </c>
      <c r="AA29">
        <f t="shared" si="0"/>
        <v>6</v>
      </c>
      <c r="AB29" t="str">
        <f t="shared" si="1"/>
        <v>No</v>
      </c>
      <c r="AC29" t="str">
        <f t="shared" si="2"/>
        <v>Efficient</v>
      </c>
    </row>
    <row r="30" spans="1:29" x14ac:dyDescent="0.3">
      <c r="A30" t="s">
        <v>126</v>
      </c>
      <c r="B30" s="1">
        <v>46041</v>
      </c>
      <c r="C30" s="1">
        <v>46043</v>
      </c>
      <c r="D30" s="1">
        <v>46047</v>
      </c>
      <c r="E30" t="s">
        <v>27</v>
      </c>
      <c r="F30" t="s">
        <v>28</v>
      </c>
      <c r="G30" t="s">
        <v>29</v>
      </c>
      <c r="H30">
        <v>1737</v>
      </c>
      <c r="I30" t="s">
        <v>87</v>
      </c>
      <c r="J30">
        <v>7</v>
      </c>
      <c r="K30">
        <v>12159</v>
      </c>
      <c r="L30">
        <v>6</v>
      </c>
      <c r="M30" t="s">
        <v>65</v>
      </c>
      <c r="N30">
        <v>9</v>
      </c>
      <c r="O30">
        <v>3.9</v>
      </c>
      <c r="P30" t="s">
        <v>45</v>
      </c>
      <c r="Q30" t="s">
        <v>38</v>
      </c>
      <c r="R30" t="s">
        <v>34</v>
      </c>
      <c r="S30">
        <v>3</v>
      </c>
      <c r="T30">
        <v>4</v>
      </c>
      <c r="U30">
        <v>1</v>
      </c>
      <c r="V30" t="s">
        <v>46</v>
      </c>
      <c r="W30" t="s">
        <v>55</v>
      </c>
      <c r="X30" t="s">
        <v>76</v>
      </c>
      <c r="Y30" t="s">
        <v>33</v>
      </c>
      <c r="Z30">
        <v>4.2</v>
      </c>
      <c r="AA30">
        <f t="shared" si="0"/>
        <v>7</v>
      </c>
      <c r="AB30" t="str">
        <f t="shared" si="1"/>
        <v>Yes</v>
      </c>
      <c r="AC30" t="str">
        <f t="shared" si="2"/>
        <v>Needs Improvement</v>
      </c>
    </row>
    <row r="31" spans="1:29" x14ac:dyDescent="0.3">
      <c r="A31" t="s">
        <v>127</v>
      </c>
      <c r="B31" s="1">
        <v>46119</v>
      </c>
      <c r="C31" s="1">
        <v>46120</v>
      </c>
      <c r="D31" s="1">
        <v>46125</v>
      </c>
      <c r="E31" t="s">
        <v>111</v>
      </c>
      <c r="F31" t="s">
        <v>27</v>
      </c>
      <c r="G31" t="s">
        <v>112</v>
      </c>
      <c r="H31">
        <v>1322</v>
      </c>
      <c r="I31" t="s">
        <v>43</v>
      </c>
      <c r="J31">
        <v>3</v>
      </c>
      <c r="K31">
        <v>14542</v>
      </c>
      <c r="L31">
        <v>8</v>
      </c>
      <c r="M31" t="s">
        <v>128</v>
      </c>
      <c r="N31">
        <v>5</v>
      </c>
      <c r="O31">
        <v>4.5</v>
      </c>
      <c r="P31" t="s">
        <v>66</v>
      </c>
      <c r="Q31" t="s">
        <v>33</v>
      </c>
      <c r="R31" t="s">
        <v>34</v>
      </c>
      <c r="S31">
        <v>2</v>
      </c>
      <c r="T31">
        <v>5</v>
      </c>
      <c r="U31">
        <v>3</v>
      </c>
      <c r="V31" t="s">
        <v>46</v>
      </c>
      <c r="W31" t="s">
        <v>36</v>
      </c>
      <c r="X31" t="s">
        <v>47</v>
      </c>
      <c r="Y31" t="s">
        <v>38</v>
      </c>
      <c r="Z31">
        <v>3.5</v>
      </c>
      <c r="AA31">
        <f t="shared" si="0"/>
        <v>11</v>
      </c>
      <c r="AB31" t="str">
        <f t="shared" si="1"/>
        <v>Yes</v>
      </c>
      <c r="AC31" t="str">
        <f t="shared" si="2"/>
        <v>Needs Improvement</v>
      </c>
    </row>
    <row r="32" spans="1:29" x14ac:dyDescent="0.3">
      <c r="A32" t="s">
        <v>129</v>
      </c>
      <c r="B32" s="1">
        <v>46063</v>
      </c>
      <c r="C32" s="1">
        <v>46065</v>
      </c>
      <c r="D32" s="1">
        <v>46069</v>
      </c>
      <c r="E32" t="s">
        <v>72</v>
      </c>
      <c r="F32" t="s">
        <v>73</v>
      </c>
      <c r="G32" t="s">
        <v>74</v>
      </c>
      <c r="H32">
        <v>483</v>
      </c>
      <c r="I32" t="s">
        <v>60</v>
      </c>
      <c r="J32">
        <v>4</v>
      </c>
      <c r="K32">
        <v>4347</v>
      </c>
      <c r="L32">
        <v>10</v>
      </c>
      <c r="M32" t="s">
        <v>70</v>
      </c>
      <c r="N32">
        <v>12</v>
      </c>
      <c r="O32">
        <v>3.4</v>
      </c>
      <c r="P32" t="s">
        <v>53</v>
      </c>
      <c r="Q32" t="s">
        <v>62</v>
      </c>
      <c r="R32" t="s">
        <v>34</v>
      </c>
      <c r="S32">
        <v>1</v>
      </c>
      <c r="T32">
        <v>4</v>
      </c>
      <c r="U32">
        <v>3</v>
      </c>
      <c r="V32" t="s">
        <v>46</v>
      </c>
      <c r="W32" t="s">
        <v>68</v>
      </c>
      <c r="X32" t="s">
        <v>63</v>
      </c>
      <c r="Y32" t="s">
        <v>38</v>
      </c>
      <c r="Z32">
        <v>4.7</v>
      </c>
      <c r="AA32">
        <f t="shared" si="0"/>
        <v>9</v>
      </c>
      <c r="AB32" t="str">
        <f t="shared" si="1"/>
        <v>Yes</v>
      </c>
      <c r="AC32" t="str">
        <f t="shared" si="2"/>
        <v>Needs Improvement</v>
      </c>
    </row>
    <row r="33" spans="1:29" x14ac:dyDescent="0.3">
      <c r="A33" t="s">
        <v>130</v>
      </c>
      <c r="B33" s="1">
        <v>46072</v>
      </c>
      <c r="C33" s="1">
        <v>46074</v>
      </c>
      <c r="D33" s="1">
        <v>46078</v>
      </c>
      <c r="E33" t="s">
        <v>27</v>
      </c>
      <c r="F33" t="s">
        <v>28</v>
      </c>
      <c r="G33" t="s">
        <v>29</v>
      </c>
      <c r="H33">
        <v>1767</v>
      </c>
      <c r="I33" t="s">
        <v>43</v>
      </c>
      <c r="J33">
        <v>8</v>
      </c>
      <c r="K33">
        <v>10602</v>
      </c>
      <c r="L33">
        <v>7</v>
      </c>
      <c r="M33" t="s">
        <v>131</v>
      </c>
      <c r="N33">
        <v>13</v>
      </c>
      <c r="O33">
        <v>3.8</v>
      </c>
      <c r="P33" t="s">
        <v>53</v>
      </c>
      <c r="Q33" t="s">
        <v>33</v>
      </c>
      <c r="R33" t="s">
        <v>54</v>
      </c>
      <c r="S33">
        <v>3</v>
      </c>
      <c r="T33">
        <v>4</v>
      </c>
      <c r="U33">
        <v>1</v>
      </c>
      <c r="V33" t="s">
        <v>46</v>
      </c>
      <c r="W33" t="s">
        <v>68</v>
      </c>
      <c r="X33" t="s">
        <v>95</v>
      </c>
      <c r="Y33" t="s">
        <v>62</v>
      </c>
      <c r="Z33">
        <v>3.1</v>
      </c>
      <c r="AA33">
        <f t="shared" si="0"/>
        <v>6</v>
      </c>
      <c r="AB33" t="str">
        <f t="shared" si="1"/>
        <v>Yes</v>
      </c>
      <c r="AC33" t="str">
        <f t="shared" si="2"/>
        <v>Needs Improvement</v>
      </c>
    </row>
    <row r="34" spans="1:29" x14ac:dyDescent="0.3">
      <c r="A34" t="s">
        <v>132</v>
      </c>
      <c r="B34" s="1">
        <v>46066</v>
      </c>
      <c r="C34" s="1">
        <v>46068</v>
      </c>
      <c r="D34" s="1">
        <v>46074</v>
      </c>
      <c r="E34" t="s">
        <v>111</v>
      </c>
      <c r="F34" t="s">
        <v>27</v>
      </c>
      <c r="G34" t="s">
        <v>112</v>
      </c>
      <c r="H34">
        <v>1683</v>
      </c>
      <c r="I34" t="s">
        <v>60</v>
      </c>
      <c r="J34">
        <v>8</v>
      </c>
      <c r="K34">
        <v>11781</v>
      </c>
      <c r="L34">
        <v>9</v>
      </c>
      <c r="M34" t="s">
        <v>52</v>
      </c>
      <c r="N34">
        <v>1</v>
      </c>
      <c r="O34">
        <v>4.8</v>
      </c>
      <c r="P34" t="s">
        <v>32</v>
      </c>
      <c r="Q34" t="s">
        <v>38</v>
      </c>
      <c r="R34" t="s">
        <v>54</v>
      </c>
      <c r="S34">
        <v>3</v>
      </c>
      <c r="T34">
        <v>6</v>
      </c>
      <c r="U34">
        <v>3</v>
      </c>
      <c r="V34" t="s">
        <v>46</v>
      </c>
      <c r="W34" t="s">
        <v>36</v>
      </c>
      <c r="X34" t="s">
        <v>95</v>
      </c>
      <c r="Y34" t="s">
        <v>38</v>
      </c>
      <c r="Z34">
        <v>3.1</v>
      </c>
      <c r="AA34">
        <f t="shared" si="0"/>
        <v>7</v>
      </c>
      <c r="AB34" t="str">
        <f t="shared" si="1"/>
        <v>Yes</v>
      </c>
      <c r="AC34" t="str">
        <f t="shared" si="2"/>
        <v>Needs Improvement</v>
      </c>
    </row>
    <row r="35" spans="1:29" x14ac:dyDescent="0.3">
      <c r="A35" t="s">
        <v>133</v>
      </c>
      <c r="B35" s="1">
        <v>46071</v>
      </c>
      <c r="C35" s="1">
        <v>46072</v>
      </c>
      <c r="D35" s="1">
        <v>46074</v>
      </c>
      <c r="E35" t="s">
        <v>40</v>
      </c>
      <c r="F35" t="s">
        <v>41</v>
      </c>
      <c r="G35" t="s">
        <v>42</v>
      </c>
      <c r="H35">
        <v>1131</v>
      </c>
      <c r="I35" t="s">
        <v>30</v>
      </c>
      <c r="J35">
        <v>6</v>
      </c>
      <c r="K35">
        <v>13572</v>
      </c>
      <c r="L35">
        <v>8</v>
      </c>
      <c r="M35" t="s">
        <v>44</v>
      </c>
      <c r="N35">
        <v>13</v>
      </c>
      <c r="O35">
        <v>4.9000000000000004</v>
      </c>
      <c r="P35" t="s">
        <v>53</v>
      </c>
      <c r="Q35" t="s">
        <v>62</v>
      </c>
      <c r="R35" t="s">
        <v>67</v>
      </c>
      <c r="S35">
        <v>2</v>
      </c>
      <c r="T35">
        <v>2</v>
      </c>
      <c r="U35">
        <v>0</v>
      </c>
      <c r="V35" t="s">
        <v>35</v>
      </c>
      <c r="W35" t="s">
        <v>55</v>
      </c>
      <c r="X35" t="s">
        <v>76</v>
      </c>
      <c r="Y35" t="s">
        <v>38</v>
      </c>
      <c r="Z35">
        <v>5</v>
      </c>
      <c r="AA35">
        <f t="shared" si="0"/>
        <v>12</v>
      </c>
      <c r="AB35" t="str">
        <f t="shared" si="1"/>
        <v>No</v>
      </c>
      <c r="AC35" t="str">
        <f t="shared" si="2"/>
        <v>Efficient</v>
      </c>
    </row>
    <row r="36" spans="1:29" x14ac:dyDescent="0.3">
      <c r="A36" t="s">
        <v>134</v>
      </c>
      <c r="B36" s="1">
        <v>46067</v>
      </c>
      <c r="C36" s="1">
        <v>46067</v>
      </c>
      <c r="D36" s="1">
        <v>46072</v>
      </c>
      <c r="E36" t="s">
        <v>72</v>
      </c>
      <c r="F36" t="s">
        <v>73</v>
      </c>
      <c r="G36" t="s">
        <v>74</v>
      </c>
      <c r="H36">
        <v>1799</v>
      </c>
      <c r="I36" t="s">
        <v>87</v>
      </c>
      <c r="J36">
        <v>1</v>
      </c>
      <c r="K36">
        <v>12593</v>
      </c>
      <c r="L36">
        <v>6</v>
      </c>
      <c r="M36" t="s">
        <v>135</v>
      </c>
      <c r="N36">
        <v>10</v>
      </c>
      <c r="O36">
        <v>3.3</v>
      </c>
      <c r="P36" t="s">
        <v>45</v>
      </c>
      <c r="Q36" t="s">
        <v>62</v>
      </c>
      <c r="R36" t="s">
        <v>54</v>
      </c>
      <c r="S36">
        <v>3</v>
      </c>
      <c r="T36">
        <v>5</v>
      </c>
      <c r="U36">
        <v>2</v>
      </c>
      <c r="V36" t="s">
        <v>46</v>
      </c>
      <c r="W36" t="s">
        <v>36</v>
      </c>
      <c r="X36" t="s">
        <v>95</v>
      </c>
      <c r="Y36" t="s">
        <v>33</v>
      </c>
      <c r="Z36">
        <v>3.5</v>
      </c>
      <c r="AA36">
        <f t="shared" si="0"/>
        <v>7</v>
      </c>
      <c r="AB36" t="str">
        <f t="shared" si="1"/>
        <v>Yes</v>
      </c>
      <c r="AC36" t="str">
        <f t="shared" si="2"/>
        <v>Needs Improvement</v>
      </c>
    </row>
    <row r="37" spans="1:29" x14ac:dyDescent="0.3">
      <c r="A37" t="s">
        <v>136</v>
      </c>
      <c r="B37" s="1">
        <v>46070</v>
      </c>
      <c r="C37" s="1">
        <v>46070</v>
      </c>
      <c r="D37" s="1">
        <v>46073</v>
      </c>
      <c r="E37" t="s">
        <v>72</v>
      </c>
      <c r="F37" t="s">
        <v>73</v>
      </c>
      <c r="G37" t="s">
        <v>74</v>
      </c>
      <c r="H37">
        <v>1792</v>
      </c>
      <c r="I37" t="s">
        <v>60</v>
      </c>
      <c r="J37">
        <v>5</v>
      </c>
      <c r="K37">
        <v>10752</v>
      </c>
      <c r="L37">
        <v>9</v>
      </c>
      <c r="M37" t="s">
        <v>135</v>
      </c>
      <c r="N37">
        <v>15</v>
      </c>
      <c r="O37">
        <v>3.6</v>
      </c>
      <c r="P37" t="s">
        <v>53</v>
      </c>
      <c r="Q37" t="s">
        <v>62</v>
      </c>
      <c r="R37" t="s">
        <v>54</v>
      </c>
      <c r="S37">
        <v>3</v>
      </c>
      <c r="T37">
        <v>3</v>
      </c>
      <c r="U37">
        <v>0</v>
      </c>
      <c r="V37" t="s">
        <v>35</v>
      </c>
      <c r="W37" t="s">
        <v>55</v>
      </c>
      <c r="X37" t="s">
        <v>37</v>
      </c>
      <c r="Y37" t="s">
        <v>38</v>
      </c>
      <c r="Z37">
        <v>4.4000000000000004</v>
      </c>
      <c r="AA37">
        <f t="shared" si="0"/>
        <v>6</v>
      </c>
      <c r="AB37" t="str">
        <f t="shared" si="1"/>
        <v>No</v>
      </c>
      <c r="AC37" t="str">
        <f t="shared" si="2"/>
        <v>Efficient</v>
      </c>
    </row>
    <row r="38" spans="1:29" x14ac:dyDescent="0.3">
      <c r="A38" t="s">
        <v>137</v>
      </c>
      <c r="B38" s="1">
        <v>46061</v>
      </c>
      <c r="C38" s="1">
        <v>46063</v>
      </c>
      <c r="D38" s="1">
        <v>46066</v>
      </c>
      <c r="E38" t="s">
        <v>72</v>
      </c>
      <c r="F38" t="s">
        <v>73</v>
      </c>
      <c r="G38" t="s">
        <v>74</v>
      </c>
      <c r="H38">
        <v>1359</v>
      </c>
      <c r="I38" t="s">
        <v>87</v>
      </c>
      <c r="J38">
        <v>6</v>
      </c>
      <c r="K38">
        <v>13590</v>
      </c>
      <c r="L38">
        <v>8</v>
      </c>
      <c r="M38" t="s">
        <v>103</v>
      </c>
      <c r="N38">
        <v>6</v>
      </c>
      <c r="O38">
        <v>3.1</v>
      </c>
      <c r="P38" t="s">
        <v>66</v>
      </c>
      <c r="Q38" t="s">
        <v>38</v>
      </c>
      <c r="R38" t="s">
        <v>34</v>
      </c>
      <c r="S38">
        <v>3</v>
      </c>
      <c r="T38">
        <v>3</v>
      </c>
      <c r="U38">
        <v>0</v>
      </c>
      <c r="V38" t="s">
        <v>35</v>
      </c>
      <c r="W38" t="s">
        <v>68</v>
      </c>
      <c r="X38" t="s">
        <v>47</v>
      </c>
      <c r="Y38" t="s">
        <v>33</v>
      </c>
      <c r="Z38">
        <v>4.8</v>
      </c>
      <c r="AA38">
        <f t="shared" si="0"/>
        <v>10</v>
      </c>
      <c r="AB38" t="str">
        <f t="shared" si="1"/>
        <v>No</v>
      </c>
      <c r="AC38" t="str">
        <f t="shared" si="2"/>
        <v>Efficient</v>
      </c>
    </row>
    <row r="39" spans="1:29" x14ac:dyDescent="0.3">
      <c r="A39" t="s">
        <v>138</v>
      </c>
      <c r="B39" s="1">
        <v>46081</v>
      </c>
      <c r="C39" s="1">
        <v>46083</v>
      </c>
      <c r="D39" s="1">
        <v>46089</v>
      </c>
      <c r="E39" t="s">
        <v>82</v>
      </c>
      <c r="F39" t="s">
        <v>83</v>
      </c>
      <c r="G39" t="s">
        <v>84</v>
      </c>
      <c r="H39">
        <v>1091</v>
      </c>
      <c r="I39" t="s">
        <v>60</v>
      </c>
      <c r="J39">
        <v>9</v>
      </c>
      <c r="K39">
        <v>12001</v>
      </c>
      <c r="L39">
        <v>7</v>
      </c>
      <c r="M39" t="s">
        <v>139</v>
      </c>
      <c r="N39">
        <v>13</v>
      </c>
      <c r="O39">
        <v>4.8</v>
      </c>
      <c r="P39" t="s">
        <v>53</v>
      </c>
      <c r="Q39" t="s">
        <v>62</v>
      </c>
      <c r="R39" t="s">
        <v>34</v>
      </c>
      <c r="S39">
        <v>2</v>
      </c>
      <c r="T39">
        <v>6</v>
      </c>
      <c r="U39">
        <v>4</v>
      </c>
      <c r="V39" t="s">
        <v>46</v>
      </c>
      <c r="W39" t="s">
        <v>68</v>
      </c>
      <c r="X39" t="s">
        <v>47</v>
      </c>
      <c r="Y39" t="s">
        <v>38</v>
      </c>
      <c r="Z39">
        <v>4.7</v>
      </c>
      <c r="AA39">
        <f t="shared" si="0"/>
        <v>11</v>
      </c>
      <c r="AB39" t="str">
        <f t="shared" si="1"/>
        <v>Yes</v>
      </c>
      <c r="AC39" t="str">
        <f t="shared" si="2"/>
        <v>Needs Improvement</v>
      </c>
    </row>
    <row r="40" spans="1:29" x14ac:dyDescent="0.3">
      <c r="A40" t="s">
        <v>140</v>
      </c>
      <c r="B40" s="1">
        <v>46034</v>
      </c>
      <c r="C40" s="1">
        <v>46035</v>
      </c>
      <c r="D40" s="1">
        <v>46037</v>
      </c>
      <c r="E40" t="s">
        <v>92</v>
      </c>
      <c r="F40" t="s">
        <v>93</v>
      </c>
      <c r="G40" t="s">
        <v>94</v>
      </c>
      <c r="H40">
        <v>699</v>
      </c>
      <c r="I40" t="s">
        <v>43</v>
      </c>
      <c r="J40">
        <v>10</v>
      </c>
      <c r="K40">
        <v>6990</v>
      </c>
      <c r="L40">
        <v>10</v>
      </c>
      <c r="M40" t="s">
        <v>75</v>
      </c>
      <c r="N40">
        <v>6</v>
      </c>
      <c r="O40">
        <v>3.1</v>
      </c>
      <c r="P40" t="s">
        <v>66</v>
      </c>
      <c r="Q40" t="s">
        <v>38</v>
      </c>
      <c r="R40" t="s">
        <v>34</v>
      </c>
      <c r="S40">
        <v>1</v>
      </c>
      <c r="T40">
        <v>2</v>
      </c>
      <c r="U40">
        <v>1</v>
      </c>
      <c r="V40" t="s">
        <v>46</v>
      </c>
      <c r="W40" t="s">
        <v>68</v>
      </c>
      <c r="X40" t="s">
        <v>47</v>
      </c>
      <c r="Y40" t="s">
        <v>62</v>
      </c>
      <c r="Z40">
        <v>4.8</v>
      </c>
      <c r="AA40">
        <f t="shared" si="0"/>
        <v>10</v>
      </c>
      <c r="AB40" t="str">
        <f t="shared" si="1"/>
        <v>Yes</v>
      </c>
      <c r="AC40" t="str">
        <f t="shared" si="2"/>
        <v>Needs Improvement</v>
      </c>
    </row>
    <row r="41" spans="1:29" x14ac:dyDescent="0.3">
      <c r="A41" t="s">
        <v>141</v>
      </c>
      <c r="B41" s="1">
        <v>46112</v>
      </c>
      <c r="C41" s="1">
        <v>46113</v>
      </c>
      <c r="D41" s="1">
        <v>46115</v>
      </c>
      <c r="E41" t="s">
        <v>27</v>
      </c>
      <c r="F41" t="s">
        <v>28</v>
      </c>
      <c r="G41" t="s">
        <v>29</v>
      </c>
      <c r="H41">
        <v>1258</v>
      </c>
      <c r="I41" t="s">
        <v>60</v>
      </c>
      <c r="J41">
        <v>2</v>
      </c>
      <c r="K41">
        <v>8806</v>
      </c>
      <c r="L41">
        <v>10</v>
      </c>
      <c r="M41" t="s">
        <v>114</v>
      </c>
      <c r="N41">
        <v>8</v>
      </c>
      <c r="O41">
        <v>4.0999999999999996</v>
      </c>
      <c r="P41" t="s">
        <v>45</v>
      </c>
      <c r="Q41" t="s">
        <v>33</v>
      </c>
      <c r="R41" t="s">
        <v>34</v>
      </c>
      <c r="S41">
        <v>2</v>
      </c>
      <c r="T41">
        <v>2</v>
      </c>
      <c r="U41">
        <v>0</v>
      </c>
      <c r="V41" t="s">
        <v>35</v>
      </c>
      <c r="W41" t="s">
        <v>36</v>
      </c>
      <c r="X41" t="s">
        <v>47</v>
      </c>
      <c r="Y41" t="s">
        <v>38</v>
      </c>
      <c r="Z41">
        <v>3.8</v>
      </c>
      <c r="AA41">
        <f t="shared" si="0"/>
        <v>7</v>
      </c>
      <c r="AB41" t="str">
        <f t="shared" si="1"/>
        <v>No</v>
      </c>
      <c r="AC41" t="str">
        <f t="shared" si="2"/>
        <v>Efficient</v>
      </c>
    </row>
    <row r="42" spans="1:29" x14ac:dyDescent="0.3">
      <c r="A42" t="s">
        <v>142</v>
      </c>
      <c r="B42" s="1">
        <v>46054</v>
      </c>
      <c r="C42" s="1">
        <v>46055</v>
      </c>
      <c r="D42" s="1">
        <v>46057</v>
      </c>
      <c r="E42" t="s">
        <v>49</v>
      </c>
      <c r="F42" t="s">
        <v>50</v>
      </c>
      <c r="G42" t="s">
        <v>51</v>
      </c>
      <c r="H42">
        <v>1169</v>
      </c>
      <c r="I42" t="s">
        <v>30</v>
      </c>
      <c r="J42">
        <v>7</v>
      </c>
      <c r="K42">
        <v>12859</v>
      </c>
      <c r="L42">
        <v>9</v>
      </c>
      <c r="M42" t="s">
        <v>143</v>
      </c>
      <c r="N42">
        <v>6</v>
      </c>
      <c r="O42">
        <v>4.4000000000000004</v>
      </c>
      <c r="P42" t="s">
        <v>66</v>
      </c>
      <c r="Q42" t="s">
        <v>62</v>
      </c>
      <c r="R42" t="s">
        <v>34</v>
      </c>
      <c r="S42">
        <v>2</v>
      </c>
      <c r="T42">
        <v>2</v>
      </c>
      <c r="U42">
        <v>0</v>
      </c>
      <c r="V42" t="s">
        <v>35</v>
      </c>
      <c r="W42" t="s">
        <v>55</v>
      </c>
      <c r="X42" t="s">
        <v>37</v>
      </c>
      <c r="Y42" t="s">
        <v>62</v>
      </c>
      <c r="Z42">
        <v>3.2</v>
      </c>
      <c r="AA42">
        <f t="shared" si="0"/>
        <v>11</v>
      </c>
      <c r="AB42" t="str">
        <f t="shared" si="1"/>
        <v>No</v>
      </c>
      <c r="AC42" t="str">
        <f t="shared" si="2"/>
        <v>Efficient</v>
      </c>
    </row>
    <row r="43" spans="1:29" x14ac:dyDescent="0.3">
      <c r="A43" t="s">
        <v>144</v>
      </c>
      <c r="B43" s="1">
        <v>46091</v>
      </c>
      <c r="C43" s="1">
        <v>46093</v>
      </c>
      <c r="D43" s="1">
        <v>46095</v>
      </c>
      <c r="E43" t="s">
        <v>82</v>
      </c>
      <c r="F43" t="s">
        <v>83</v>
      </c>
      <c r="G43" t="s">
        <v>84</v>
      </c>
      <c r="H43">
        <v>592</v>
      </c>
      <c r="I43" t="s">
        <v>60</v>
      </c>
      <c r="J43">
        <v>8</v>
      </c>
      <c r="K43">
        <v>4736</v>
      </c>
      <c r="L43">
        <v>10</v>
      </c>
      <c r="M43" t="s">
        <v>145</v>
      </c>
      <c r="N43">
        <v>13</v>
      </c>
      <c r="O43">
        <v>4</v>
      </c>
      <c r="P43" t="s">
        <v>66</v>
      </c>
      <c r="Q43" t="s">
        <v>38</v>
      </c>
      <c r="R43" t="s">
        <v>67</v>
      </c>
      <c r="S43">
        <v>1</v>
      </c>
      <c r="T43">
        <v>2</v>
      </c>
      <c r="U43">
        <v>1</v>
      </c>
      <c r="V43" t="s">
        <v>46</v>
      </c>
      <c r="W43" t="s">
        <v>68</v>
      </c>
      <c r="X43" t="s">
        <v>37</v>
      </c>
      <c r="Y43" t="s">
        <v>62</v>
      </c>
      <c r="Z43">
        <v>3</v>
      </c>
      <c r="AA43">
        <f t="shared" si="0"/>
        <v>8</v>
      </c>
      <c r="AB43" t="str">
        <f t="shared" si="1"/>
        <v>Yes</v>
      </c>
      <c r="AC43" t="str">
        <f t="shared" si="2"/>
        <v>Needs Improvement</v>
      </c>
    </row>
    <row r="44" spans="1:29" x14ac:dyDescent="0.3">
      <c r="A44" t="s">
        <v>146</v>
      </c>
      <c r="B44" s="1">
        <v>46091</v>
      </c>
      <c r="C44" s="1">
        <v>46091</v>
      </c>
      <c r="D44" s="1">
        <v>46094</v>
      </c>
      <c r="E44" t="s">
        <v>57</v>
      </c>
      <c r="F44" t="s">
        <v>58</v>
      </c>
      <c r="G44" t="s">
        <v>59</v>
      </c>
      <c r="H44">
        <v>293</v>
      </c>
      <c r="I44" t="s">
        <v>87</v>
      </c>
      <c r="J44">
        <v>9</v>
      </c>
      <c r="K44">
        <v>2344</v>
      </c>
      <c r="L44">
        <v>10</v>
      </c>
      <c r="M44" t="s">
        <v>147</v>
      </c>
      <c r="N44">
        <v>11</v>
      </c>
      <c r="O44">
        <v>4.7</v>
      </c>
      <c r="P44" t="s">
        <v>53</v>
      </c>
      <c r="Q44" t="s">
        <v>38</v>
      </c>
      <c r="R44" t="s">
        <v>67</v>
      </c>
      <c r="S44">
        <v>1</v>
      </c>
      <c r="T44">
        <v>3</v>
      </c>
      <c r="U44">
        <v>2</v>
      </c>
      <c r="V44" t="s">
        <v>46</v>
      </c>
      <c r="W44" t="s">
        <v>68</v>
      </c>
      <c r="X44" t="s">
        <v>95</v>
      </c>
      <c r="Y44" t="s">
        <v>62</v>
      </c>
      <c r="Z44">
        <v>3.7</v>
      </c>
      <c r="AA44">
        <f t="shared" si="0"/>
        <v>8</v>
      </c>
      <c r="AB44" t="str">
        <f t="shared" si="1"/>
        <v>Yes</v>
      </c>
      <c r="AC44" t="str">
        <f t="shared" si="2"/>
        <v>Needs Improvement</v>
      </c>
    </row>
    <row r="45" spans="1:29" x14ac:dyDescent="0.3">
      <c r="A45" t="s">
        <v>148</v>
      </c>
      <c r="B45" s="1">
        <v>46029</v>
      </c>
      <c r="C45" s="1">
        <v>46030</v>
      </c>
      <c r="D45" s="1">
        <v>46031</v>
      </c>
      <c r="E45" t="s">
        <v>92</v>
      </c>
      <c r="F45" t="s">
        <v>93</v>
      </c>
      <c r="G45" t="s">
        <v>94</v>
      </c>
      <c r="H45">
        <v>433</v>
      </c>
      <c r="I45" t="s">
        <v>87</v>
      </c>
      <c r="J45">
        <v>7</v>
      </c>
      <c r="K45">
        <v>3897</v>
      </c>
      <c r="L45">
        <v>5</v>
      </c>
      <c r="M45" t="s">
        <v>105</v>
      </c>
      <c r="N45">
        <v>11</v>
      </c>
      <c r="O45">
        <v>4.4000000000000004</v>
      </c>
      <c r="P45" t="s">
        <v>45</v>
      </c>
      <c r="Q45" t="s">
        <v>38</v>
      </c>
      <c r="R45" t="s">
        <v>54</v>
      </c>
      <c r="S45">
        <v>1</v>
      </c>
      <c r="T45">
        <v>1</v>
      </c>
      <c r="U45">
        <v>0</v>
      </c>
      <c r="V45" t="s">
        <v>35</v>
      </c>
      <c r="W45" t="s">
        <v>36</v>
      </c>
      <c r="X45" t="s">
        <v>63</v>
      </c>
      <c r="Y45" t="s">
        <v>33</v>
      </c>
      <c r="Z45">
        <v>4.5</v>
      </c>
      <c r="AA45">
        <f t="shared" si="0"/>
        <v>9</v>
      </c>
      <c r="AB45" t="str">
        <f t="shared" si="1"/>
        <v>No</v>
      </c>
      <c r="AC45" t="str">
        <f t="shared" si="2"/>
        <v>Efficient</v>
      </c>
    </row>
    <row r="46" spans="1:29" x14ac:dyDescent="0.3">
      <c r="A46" t="s">
        <v>149</v>
      </c>
      <c r="B46" s="1">
        <v>46100</v>
      </c>
      <c r="C46" s="1">
        <v>46102</v>
      </c>
      <c r="D46" s="1">
        <v>46106</v>
      </c>
      <c r="E46" t="s">
        <v>40</v>
      </c>
      <c r="F46" t="s">
        <v>41</v>
      </c>
      <c r="G46" t="s">
        <v>42</v>
      </c>
      <c r="H46">
        <v>1788</v>
      </c>
      <c r="I46" t="s">
        <v>43</v>
      </c>
      <c r="J46">
        <v>8</v>
      </c>
      <c r="K46">
        <v>16092</v>
      </c>
      <c r="L46">
        <v>7</v>
      </c>
      <c r="M46" t="s">
        <v>145</v>
      </c>
      <c r="N46">
        <v>7</v>
      </c>
      <c r="O46">
        <v>3.6</v>
      </c>
      <c r="P46" t="s">
        <v>32</v>
      </c>
      <c r="Q46" t="s">
        <v>33</v>
      </c>
      <c r="R46" t="s">
        <v>54</v>
      </c>
      <c r="S46">
        <v>3</v>
      </c>
      <c r="T46">
        <v>4</v>
      </c>
      <c r="U46">
        <v>1</v>
      </c>
      <c r="V46" t="s">
        <v>46</v>
      </c>
      <c r="W46" t="s">
        <v>55</v>
      </c>
      <c r="X46" t="s">
        <v>37</v>
      </c>
      <c r="Y46" t="s">
        <v>62</v>
      </c>
      <c r="Z46">
        <v>4.3</v>
      </c>
      <c r="AA46">
        <f t="shared" si="0"/>
        <v>9</v>
      </c>
      <c r="AB46" t="str">
        <f t="shared" si="1"/>
        <v>Yes</v>
      </c>
      <c r="AC46" t="str">
        <f t="shared" si="2"/>
        <v>Needs Improvement</v>
      </c>
    </row>
    <row r="47" spans="1:29" x14ac:dyDescent="0.3">
      <c r="A47" t="s">
        <v>150</v>
      </c>
      <c r="B47" s="1">
        <v>46043</v>
      </c>
      <c r="C47" s="1">
        <v>46043</v>
      </c>
      <c r="D47" s="1">
        <v>46047</v>
      </c>
      <c r="E47" t="s">
        <v>82</v>
      </c>
      <c r="F47" t="s">
        <v>83</v>
      </c>
      <c r="G47" t="s">
        <v>84</v>
      </c>
      <c r="H47">
        <v>1330</v>
      </c>
      <c r="I47" t="s">
        <v>87</v>
      </c>
      <c r="J47">
        <v>3</v>
      </c>
      <c r="K47">
        <v>7980</v>
      </c>
      <c r="L47">
        <v>8</v>
      </c>
      <c r="M47" t="s">
        <v>128</v>
      </c>
      <c r="N47">
        <v>12</v>
      </c>
      <c r="O47">
        <v>4.2</v>
      </c>
      <c r="P47" t="s">
        <v>66</v>
      </c>
      <c r="Q47" t="s">
        <v>38</v>
      </c>
      <c r="R47" t="s">
        <v>67</v>
      </c>
      <c r="S47">
        <v>2</v>
      </c>
      <c r="T47">
        <v>4</v>
      </c>
      <c r="U47">
        <v>2</v>
      </c>
      <c r="V47" t="s">
        <v>46</v>
      </c>
      <c r="W47" t="s">
        <v>68</v>
      </c>
      <c r="X47" t="s">
        <v>95</v>
      </c>
      <c r="Y47" t="s">
        <v>38</v>
      </c>
      <c r="Z47">
        <v>4.4000000000000004</v>
      </c>
      <c r="AA47">
        <f t="shared" si="0"/>
        <v>6</v>
      </c>
      <c r="AB47" t="str">
        <f t="shared" si="1"/>
        <v>Yes</v>
      </c>
      <c r="AC47" t="str">
        <f t="shared" si="2"/>
        <v>Needs Improvement</v>
      </c>
    </row>
    <row r="48" spans="1:29" x14ac:dyDescent="0.3">
      <c r="A48" t="s">
        <v>151</v>
      </c>
      <c r="B48" s="1">
        <v>46141</v>
      </c>
      <c r="C48" s="1">
        <v>46142</v>
      </c>
      <c r="D48" s="1">
        <v>46145</v>
      </c>
      <c r="E48" t="s">
        <v>40</v>
      </c>
      <c r="F48" t="s">
        <v>41</v>
      </c>
      <c r="G48" t="s">
        <v>42</v>
      </c>
      <c r="H48">
        <v>1070</v>
      </c>
      <c r="I48" t="s">
        <v>87</v>
      </c>
      <c r="J48">
        <v>9</v>
      </c>
      <c r="K48">
        <v>7490</v>
      </c>
      <c r="L48">
        <v>10</v>
      </c>
      <c r="M48" t="s">
        <v>70</v>
      </c>
      <c r="N48">
        <v>15</v>
      </c>
      <c r="O48">
        <v>3.5</v>
      </c>
      <c r="P48" t="s">
        <v>45</v>
      </c>
      <c r="Q48" t="s">
        <v>38</v>
      </c>
      <c r="R48" t="s">
        <v>67</v>
      </c>
      <c r="S48">
        <v>2</v>
      </c>
      <c r="T48">
        <v>3</v>
      </c>
      <c r="U48">
        <v>1</v>
      </c>
      <c r="V48" t="s">
        <v>46</v>
      </c>
      <c r="W48" t="s">
        <v>55</v>
      </c>
      <c r="X48" t="s">
        <v>76</v>
      </c>
      <c r="Y48" t="s">
        <v>62</v>
      </c>
      <c r="Z48">
        <v>3.9</v>
      </c>
      <c r="AA48">
        <f t="shared" si="0"/>
        <v>7</v>
      </c>
      <c r="AB48" t="str">
        <f t="shared" si="1"/>
        <v>Yes</v>
      </c>
      <c r="AC48" t="str">
        <f t="shared" si="2"/>
        <v>Needs Improvement</v>
      </c>
    </row>
    <row r="49" spans="1:29" x14ac:dyDescent="0.3">
      <c r="A49" t="s">
        <v>152</v>
      </c>
      <c r="B49" s="1">
        <v>46082</v>
      </c>
      <c r="C49" s="1">
        <v>46084</v>
      </c>
      <c r="D49" s="1">
        <v>46088</v>
      </c>
      <c r="E49" t="s">
        <v>57</v>
      </c>
      <c r="F49" t="s">
        <v>58</v>
      </c>
      <c r="G49" t="s">
        <v>59</v>
      </c>
      <c r="H49">
        <v>1633</v>
      </c>
      <c r="I49" t="s">
        <v>43</v>
      </c>
      <c r="J49">
        <v>5</v>
      </c>
      <c r="K49">
        <v>16330</v>
      </c>
      <c r="L49">
        <v>9</v>
      </c>
      <c r="M49" t="s">
        <v>153</v>
      </c>
      <c r="N49">
        <v>8</v>
      </c>
      <c r="O49">
        <v>3.2</v>
      </c>
      <c r="P49" t="s">
        <v>32</v>
      </c>
      <c r="Q49" t="s">
        <v>62</v>
      </c>
      <c r="R49" t="s">
        <v>54</v>
      </c>
      <c r="S49">
        <v>3</v>
      </c>
      <c r="T49">
        <v>4</v>
      </c>
      <c r="U49">
        <v>1</v>
      </c>
      <c r="V49" t="s">
        <v>46</v>
      </c>
      <c r="W49" t="s">
        <v>55</v>
      </c>
      <c r="X49" t="s">
        <v>47</v>
      </c>
      <c r="Y49" t="s">
        <v>38</v>
      </c>
      <c r="Z49">
        <v>3.2</v>
      </c>
      <c r="AA49">
        <f t="shared" si="0"/>
        <v>10</v>
      </c>
      <c r="AB49" t="str">
        <f t="shared" si="1"/>
        <v>Yes</v>
      </c>
      <c r="AC49" t="str">
        <f t="shared" si="2"/>
        <v>Needs Improvement</v>
      </c>
    </row>
    <row r="50" spans="1:29" x14ac:dyDescent="0.3">
      <c r="A50" t="s">
        <v>154</v>
      </c>
      <c r="B50" s="1">
        <v>46109</v>
      </c>
      <c r="C50" s="1">
        <v>46111</v>
      </c>
      <c r="D50" s="1">
        <v>46117</v>
      </c>
      <c r="E50" t="s">
        <v>27</v>
      </c>
      <c r="F50" t="s">
        <v>28</v>
      </c>
      <c r="G50" t="s">
        <v>29</v>
      </c>
      <c r="H50">
        <v>1766</v>
      </c>
      <c r="I50" t="s">
        <v>30</v>
      </c>
      <c r="J50">
        <v>10</v>
      </c>
      <c r="K50">
        <v>10596</v>
      </c>
      <c r="L50">
        <v>6</v>
      </c>
      <c r="M50" t="s">
        <v>116</v>
      </c>
      <c r="N50">
        <v>9</v>
      </c>
      <c r="O50">
        <v>4.3</v>
      </c>
      <c r="P50" t="s">
        <v>66</v>
      </c>
      <c r="Q50" t="s">
        <v>38</v>
      </c>
      <c r="R50" t="s">
        <v>54</v>
      </c>
      <c r="S50">
        <v>3</v>
      </c>
      <c r="T50">
        <v>6</v>
      </c>
      <c r="U50">
        <v>3</v>
      </c>
      <c r="V50" t="s">
        <v>46</v>
      </c>
      <c r="W50" t="s">
        <v>36</v>
      </c>
      <c r="X50" t="s">
        <v>95</v>
      </c>
      <c r="Y50" t="s">
        <v>62</v>
      </c>
      <c r="Z50">
        <v>3.8</v>
      </c>
      <c r="AA50">
        <f t="shared" si="0"/>
        <v>6</v>
      </c>
      <c r="AB50" t="str">
        <f t="shared" si="1"/>
        <v>Yes</v>
      </c>
      <c r="AC50" t="str">
        <f t="shared" si="2"/>
        <v>Needs Improvement</v>
      </c>
    </row>
    <row r="51" spans="1:29" x14ac:dyDescent="0.3">
      <c r="A51" t="s">
        <v>155</v>
      </c>
      <c r="B51" s="1">
        <v>46064</v>
      </c>
      <c r="C51" s="1">
        <v>46066</v>
      </c>
      <c r="D51" s="1">
        <v>46068</v>
      </c>
      <c r="E51" t="s">
        <v>72</v>
      </c>
      <c r="F51" t="s">
        <v>73</v>
      </c>
      <c r="G51" t="s">
        <v>74</v>
      </c>
      <c r="H51">
        <v>529</v>
      </c>
      <c r="I51" t="s">
        <v>30</v>
      </c>
      <c r="J51">
        <v>7</v>
      </c>
      <c r="K51">
        <v>5819</v>
      </c>
      <c r="L51">
        <v>8</v>
      </c>
      <c r="M51" t="s">
        <v>99</v>
      </c>
      <c r="N51">
        <v>11</v>
      </c>
      <c r="O51">
        <v>4.9000000000000004</v>
      </c>
      <c r="P51" t="s">
        <v>32</v>
      </c>
      <c r="Q51" t="s">
        <v>62</v>
      </c>
      <c r="R51" t="s">
        <v>67</v>
      </c>
      <c r="S51">
        <v>1</v>
      </c>
      <c r="T51">
        <v>2</v>
      </c>
      <c r="U51">
        <v>1</v>
      </c>
      <c r="V51" t="s">
        <v>46</v>
      </c>
      <c r="W51" t="s">
        <v>68</v>
      </c>
      <c r="X51" t="s">
        <v>47</v>
      </c>
      <c r="Y51" t="s">
        <v>38</v>
      </c>
      <c r="Z51">
        <v>4.9000000000000004</v>
      </c>
      <c r="AA51">
        <f t="shared" si="0"/>
        <v>11</v>
      </c>
      <c r="AB51" t="str">
        <f t="shared" si="1"/>
        <v>Yes</v>
      </c>
      <c r="AC51" t="str">
        <f t="shared" si="2"/>
        <v>Needs Improvement</v>
      </c>
    </row>
    <row r="52" spans="1:29" x14ac:dyDescent="0.3">
      <c r="A52" t="s">
        <v>156</v>
      </c>
      <c r="B52" s="1">
        <v>46074</v>
      </c>
      <c r="C52" s="1">
        <v>46076</v>
      </c>
      <c r="D52" s="1">
        <v>46080</v>
      </c>
      <c r="E52" t="s">
        <v>27</v>
      </c>
      <c r="F52" t="s">
        <v>28</v>
      </c>
      <c r="G52" t="s">
        <v>29</v>
      </c>
      <c r="H52">
        <v>1546</v>
      </c>
      <c r="I52" t="s">
        <v>43</v>
      </c>
      <c r="J52">
        <v>7</v>
      </c>
      <c r="K52">
        <v>9276</v>
      </c>
      <c r="L52">
        <v>6</v>
      </c>
      <c r="M52" t="s">
        <v>85</v>
      </c>
      <c r="N52">
        <v>6</v>
      </c>
      <c r="O52">
        <v>4.2</v>
      </c>
      <c r="P52" t="s">
        <v>53</v>
      </c>
      <c r="Q52" t="s">
        <v>33</v>
      </c>
      <c r="R52" t="s">
        <v>34</v>
      </c>
      <c r="S52">
        <v>3</v>
      </c>
      <c r="T52">
        <v>4</v>
      </c>
      <c r="U52">
        <v>1</v>
      </c>
      <c r="V52" t="s">
        <v>46</v>
      </c>
      <c r="W52" t="s">
        <v>55</v>
      </c>
      <c r="X52" t="s">
        <v>37</v>
      </c>
      <c r="Y52" t="s">
        <v>62</v>
      </c>
      <c r="Z52">
        <v>3.9</v>
      </c>
      <c r="AA52">
        <f t="shared" si="0"/>
        <v>6</v>
      </c>
      <c r="AB52" t="str">
        <f t="shared" si="1"/>
        <v>Yes</v>
      </c>
      <c r="AC52" t="str">
        <f t="shared" si="2"/>
        <v>Needs Improvement</v>
      </c>
    </row>
    <row r="53" spans="1:29" x14ac:dyDescent="0.3">
      <c r="A53" t="s">
        <v>157</v>
      </c>
      <c r="B53" s="1">
        <v>46112</v>
      </c>
      <c r="C53" s="1">
        <v>46113</v>
      </c>
      <c r="D53" s="1">
        <v>46114</v>
      </c>
      <c r="E53" t="s">
        <v>72</v>
      </c>
      <c r="F53" t="s">
        <v>73</v>
      </c>
      <c r="G53" t="s">
        <v>74</v>
      </c>
      <c r="H53">
        <v>259</v>
      </c>
      <c r="I53" t="s">
        <v>60</v>
      </c>
      <c r="J53">
        <v>3</v>
      </c>
      <c r="K53">
        <v>2072</v>
      </c>
      <c r="L53">
        <v>9</v>
      </c>
      <c r="M53" t="s">
        <v>158</v>
      </c>
      <c r="N53">
        <v>9</v>
      </c>
      <c r="O53">
        <v>3.8</v>
      </c>
      <c r="P53" t="s">
        <v>45</v>
      </c>
      <c r="Q53" t="s">
        <v>38</v>
      </c>
      <c r="R53" t="s">
        <v>34</v>
      </c>
      <c r="S53">
        <v>1</v>
      </c>
      <c r="T53">
        <v>1</v>
      </c>
      <c r="U53">
        <v>0</v>
      </c>
      <c r="V53" t="s">
        <v>35</v>
      </c>
      <c r="W53" t="s">
        <v>68</v>
      </c>
      <c r="X53" t="s">
        <v>47</v>
      </c>
      <c r="Y53" t="s">
        <v>33</v>
      </c>
      <c r="Z53">
        <v>4.4000000000000004</v>
      </c>
      <c r="AA53">
        <f t="shared" si="0"/>
        <v>8</v>
      </c>
      <c r="AB53" t="str">
        <f t="shared" si="1"/>
        <v>No</v>
      </c>
      <c r="AC53" t="str">
        <f t="shared" si="2"/>
        <v>Efficient</v>
      </c>
    </row>
    <row r="54" spans="1:29" x14ac:dyDescent="0.3">
      <c r="A54" t="s">
        <v>159</v>
      </c>
      <c r="B54" s="1">
        <v>46076</v>
      </c>
      <c r="C54" s="1">
        <v>46077</v>
      </c>
      <c r="D54" s="1">
        <v>46080</v>
      </c>
      <c r="E54" t="s">
        <v>92</v>
      </c>
      <c r="F54" t="s">
        <v>93</v>
      </c>
      <c r="G54" t="s">
        <v>94</v>
      </c>
      <c r="H54">
        <v>699</v>
      </c>
      <c r="I54" t="s">
        <v>43</v>
      </c>
      <c r="J54">
        <v>9</v>
      </c>
      <c r="K54">
        <v>4893</v>
      </c>
      <c r="L54">
        <v>8</v>
      </c>
      <c r="M54" t="s">
        <v>160</v>
      </c>
      <c r="N54">
        <v>15</v>
      </c>
      <c r="O54">
        <v>4.2</v>
      </c>
      <c r="P54" t="s">
        <v>45</v>
      </c>
      <c r="Q54" t="s">
        <v>38</v>
      </c>
      <c r="R54" t="s">
        <v>34</v>
      </c>
      <c r="S54">
        <v>1</v>
      </c>
      <c r="T54">
        <v>3</v>
      </c>
      <c r="U54">
        <v>2</v>
      </c>
      <c r="V54" t="s">
        <v>46</v>
      </c>
      <c r="W54" t="s">
        <v>55</v>
      </c>
      <c r="X54" t="s">
        <v>47</v>
      </c>
      <c r="Y54" t="s">
        <v>38</v>
      </c>
      <c r="Z54">
        <v>3.6</v>
      </c>
      <c r="AA54">
        <f t="shared" si="0"/>
        <v>7</v>
      </c>
      <c r="AB54" t="str">
        <f t="shared" si="1"/>
        <v>Yes</v>
      </c>
      <c r="AC54" t="str">
        <f t="shared" si="2"/>
        <v>Needs Improvement</v>
      </c>
    </row>
    <row r="55" spans="1:29" x14ac:dyDescent="0.3">
      <c r="A55" t="s">
        <v>161</v>
      </c>
      <c r="B55" s="1">
        <v>46061</v>
      </c>
      <c r="C55" s="1">
        <v>46063</v>
      </c>
      <c r="D55" s="1">
        <v>46066</v>
      </c>
      <c r="E55" t="s">
        <v>92</v>
      </c>
      <c r="F55" t="s">
        <v>93</v>
      </c>
      <c r="G55" t="s">
        <v>94</v>
      </c>
      <c r="H55">
        <v>504</v>
      </c>
      <c r="I55" t="s">
        <v>43</v>
      </c>
      <c r="J55">
        <v>9</v>
      </c>
      <c r="K55">
        <v>4536</v>
      </c>
      <c r="L55">
        <v>7</v>
      </c>
      <c r="M55" t="s">
        <v>143</v>
      </c>
      <c r="N55">
        <v>9</v>
      </c>
      <c r="O55">
        <v>4.5</v>
      </c>
      <c r="P55" t="s">
        <v>53</v>
      </c>
      <c r="Q55" t="s">
        <v>62</v>
      </c>
      <c r="R55" t="s">
        <v>34</v>
      </c>
      <c r="S55">
        <v>1</v>
      </c>
      <c r="T55">
        <v>3</v>
      </c>
      <c r="U55">
        <v>2</v>
      </c>
      <c r="V55" t="s">
        <v>46</v>
      </c>
      <c r="W55" t="s">
        <v>36</v>
      </c>
      <c r="X55" t="s">
        <v>76</v>
      </c>
      <c r="Y55" t="s">
        <v>62</v>
      </c>
      <c r="Z55">
        <v>3.5</v>
      </c>
      <c r="AA55">
        <f t="shared" si="0"/>
        <v>9</v>
      </c>
      <c r="AB55" t="str">
        <f t="shared" si="1"/>
        <v>Yes</v>
      </c>
      <c r="AC55" t="str">
        <f t="shared" si="2"/>
        <v>Needs Improvement</v>
      </c>
    </row>
    <row r="56" spans="1:29" x14ac:dyDescent="0.3">
      <c r="A56" t="s">
        <v>162</v>
      </c>
      <c r="B56" s="1">
        <v>46122</v>
      </c>
      <c r="C56" s="1">
        <v>46123</v>
      </c>
      <c r="D56" s="1">
        <v>46126</v>
      </c>
      <c r="E56" t="s">
        <v>27</v>
      </c>
      <c r="F56" t="s">
        <v>28</v>
      </c>
      <c r="G56" t="s">
        <v>29</v>
      </c>
      <c r="H56">
        <v>851</v>
      </c>
      <c r="I56" t="s">
        <v>43</v>
      </c>
      <c r="J56">
        <v>7</v>
      </c>
      <c r="K56">
        <v>7659</v>
      </c>
      <c r="L56">
        <v>10</v>
      </c>
      <c r="M56" t="s">
        <v>97</v>
      </c>
      <c r="N56">
        <v>3</v>
      </c>
      <c r="O56">
        <v>4</v>
      </c>
      <c r="P56" t="s">
        <v>32</v>
      </c>
      <c r="Q56" t="s">
        <v>38</v>
      </c>
      <c r="R56" t="s">
        <v>54</v>
      </c>
      <c r="S56">
        <v>1</v>
      </c>
      <c r="T56">
        <v>3</v>
      </c>
      <c r="U56">
        <v>2</v>
      </c>
      <c r="V56" t="s">
        <v>46</v>
      </c>
      <c r="W56" t="s">
        <v>68</v>
      </c>
      <c r="X56" t="s">
        <v>63</v>
      </c>
      <c r="Y56" t="s">
        <v>62</v>
      </c>
      <c r="Z56">
        <v>3.2</v>
      </c>
      <c r="AA56">
        <f t="shared" si="0"/>
        <v>9</v>
      </c>
      <c r="AB56" t="str">
        <f t="shared" si="1"/>
        <v>Yes</v>
      </c>
      <c r="AC56" t="str">
        <f t="shared" si="2"/>
        <v>Needs Improvement</v>
      </c>
    </row>
    <row r="57" spans="1:29" x14ac:dyDescent="0.3">
      <c r="A57" t="s">
        <v>163</v>
      </c>
      <c r="B57" s="1">
        <v>46139</v>
      </c>
      <c r="C57" s="1">
        <v>46140</v>
      </c>
      <c r="D57" s="1">
        <v>46146</v>
      </c>
      <c r="E57" t="s">
        <v>27</v>
      </c>
      <c r="F57" t="s">
        <v>28</v>
      </c>
      <c r="G57" t="s">
        <v>29</v>
      </c>
      <c r="H57">
        <v>1679</v>
      </c>
      <c r="I57" t="s">
        <v>60</v>
      </c>
      <c r="J57">
        <v>7</v>
      </c>
      <c r="K57">
        <v>20148</v>
      </c>
      <c r="L57">
        <v>10</v>
      </c>
      <c r="M57" t="s">
        <v>70</v>
      </c>
      <c r="N57">
        <v>2</v>
      </c>
      <c r="O57">
        <v>3.9</v>
      </c>
      <c r="P57" t="s">
        <v>66</v>
      </c>
      <c r="Q57" t="s">
        <v>62</v>
      </c>
      <c r="R57" t="s">
        <v>54</v>
      </c>
      <c r="S57">
        <v>3</v>
      </c>
      <c r="T57">
        <v>6</v>
      </c>
      <c r="U57">
        <v>3</v>
      </c>
      <c r="V57" t="s">
        <v>46</v>
      </c>
      <c r="W57" t="s">
        <v>55</v>
      </c>
      <c r="X57" t="s">
        <v>63</v>
      </c>
      <c r="Y57" t="s">
        <v>62</v>
      </c>
      <c r="Z57">
        <v>4.7</v>
      </c>
      <c r="AA57">
        <f t="shared" si="0"/>
        <v>12</v>
      </c>
      <c r="AB57" t="str">
        <f t="shared" si="1"/>
        <v>Yes</v>
      </c>
      <c r="AC57" t="str">
        <f t="shared" si="2"/>
        <v>Needs Improvement</v>
      </c>
    </row>
    <row r="58" spans="1:29" x14ac:dyDescent="0.3">
      <c r="A58" t="s">
        <v>164</v>
      </c>
      <c r="B58" s="1">
        <v>46132</v>
      </c>
      <c r="C58" s="1">
        <v>46134</v>
      </c>
      <c r="D58" s="1">
        <v>46138</v>
      </c>
      <c r="E58" t="s">
        <v>111</v>
      </c>
      <c r="F58" t="s">
        <v>27</v>
      </c>
      <c r="G58" t="s">
        <v>112</v>
      </c>
      <c r="H58">
        <v>848</v>
      </c>
      <c r="I58" t="s">
        <v>43</v>
      </c>
      <c r="J58">
        <v>9</v>
      </c>
      <c r="K58">
        <v>5088</v>
      </c>
      <c r="L58">
        <v>9</v>
      </c>
      <c r="M58" t="s">
        <v>165</v>
      </c>
      <c r="N58">
        <v>4</v>
      </c>
      <c r="O58">
        <v>4.3</v>
      </c>
      <c r="P58" t="s">
        <v>66</v>
      </c>
      <c r="Q58" t="s">
        <v>38</v>
      </c>
      <c r="R58" t="s">
        <v>54</v>
      </c>
      <c r="S58">
        <v>1</v>
      </c>
      <c r="T58">
        <v>4</v>
      </c>
      <c r="U58">
        <v>3</v>
      </c>
      <c r="V58" t="s">
        <v>46</v>
      </c>
      <c r="W58" t="s">
        <v>36</v>
      </c>
      <c r="X58" t="s">
        <v>63</v>
      </c>
      <c r="Y58" t="s">
        <v>62</v>
      </c>
      <c r="Z58">
        <v>3.3</v>
      </c>
      <c r="AA58">
        <f t="shared" si="0"/>
        <v>6</v>
      </c>
      <c r="AB58" t="str">
        <f t="shared" si="1"/>
        <v>Yes</v>
      </c>
      <c r="AC58" t="str">
        <f t="shared" si="2"/>
        <v>Needs Improvement</v>
      </c>
    </row>
    <row r="59" spans="1:29" x14ac:dyDescent="0.3">
      <c r="A59" t="s">
        <v>166</v>
      </c>
      <c r="B59" s="1">
        <v>46061</v>
      </c>
      <c r="C59" s="1">
        <v>46061</v>
      </c>
      <c r="D59" s="1">
        <v>46063</v>
      </c>
      <c r="E59" t="s">
        <v>27</v>
      </c>
      <c r="F59" t="s">
        <v>28</v>
      </c>
      <c r="G59" t="s">
        <v>29</v>
      </c>
      <c r="H59">
        <v>864</v>
      </c>
      <c r="I59" t="s">
        <v>87</v>
      </c>
      <c r="J59">
        <v>5</v>
      </c>
      <c r="K59">
        <v>6912</v>
      </c>
      <c r="L59">
        <v>7</v>
      </c>
      <c r="M59" t="s">
        <v>120</v>
      </c>
      <c r="N59">
        <v>3</v>
      </c>
      <c r="O59">
        <v>3.5</v>
      </c>
      <c r="P59" t="s">
        <v>53</v>
      </c>
      <c r="Q59" t="s">
        <v>33</v>
      </c>
      <c r="R59" t="s">
        <v>54</v>
      </c>
      <c r="S59">
        <v>1</v>
      </c>
      <c r="T59">
        <v>2</v>
      </c>
      <c r="U59">
        <v>1</v>
      </c>
      <c r="V59" t="s">
        <v>46</v>
      </c>
      <c r="W59" t="s">
        <v>36</v>
      </c>
      <c r="X59" t="s">
        <v>76</v>
      </c>
      <c r="Y59" t="s">
        <v>62</v>
      </c>
      <c r="Z59">
        <v>4.2</v>
      </c>
      <c r="AA59">
        <f t="shared" si="0"/>
        <v>8</v>
      </c>
      <c r="AB59" t="str">
        <f t="shared" si="1"/>
        <v>Yes</v>
      </c>
      <c r="AC59" t="str">
        <f t="shared" si="2"/>
        <v>Needs Improvement</v>
      </c>
    </row>
    <row r="60" spans="1:29" x14ac:dyDescent="0.3">
      <c r="A60" t="s">
        <v>167</v>
      </c>
      <c r="B60" s="1">
        <v>46053</v>
      </c>
      <c r="C60" s="1">
        <v>46054</v>
      </c>
      <c r="D60" s="1">
        <v>46056</v>
      </c>
      <c r="E60" t="s">
        <v>82</v>
      </c>
      <c r="F60" t="s">
        <v>83</v>
      </c>
      <c r="G60" t="s">
        <v>84</v>
      </c>
      <c r="H60">
        <v>675</v>
      </c>
      <c r="I60" t="s">
        <v>43</v>
      </c>
      <c r="J60">
        <v>5</v>
      </c>
      <c r="K60">
        <v>6075</v>
      </c>
      <c r="L60">
        <v>7</v>
      </c>
      <c r="M60" t="s">
        <v>103</v>
      </c>
      <c r="N60">
        <v>1</v>
      </c>
      <c r="O60">
        <v>4.8</v>
      </c>
      <c r="P60" t="s">
        <v>53</v>
      </c>
      <c r="Q60" t="s">
        <v>62</v>
      </c>
      <c r="R60" t="s">
        <v>54</v>
      </c>
      <c r="S60">
        <v>1</v>
      </c>
      <c r="T60">
        <v>2</v>
      </c>
      <c r="U60">
        <v>1</v>
      </c>
      <c r="V60" t="s">
        <v>46</v>
      </c>
      <c r="W60" t="s">
        <v>36</v>
      </c>
      <c r="X60" t="s">
        <v>95</v>
      </c>
      <c r="Y60" t="s">
        <v>62</v>
      </c>
      <c r="Z60">
        <v>5</v>
      </c>
      <c r="AA60">
        <f t="shared" si="0"/>
        <v>9</v>
      </c>
      <c r="AB60" t="str">
        <f t="shared" si="1"/>
        <v>Yes</v>
      </c>
      <c r="AC60" t="str">
        <f t="shared" si="2"/>
        <v>Needs Improvement</v>
      </c>
    </row>
    <row r="61" spans="1:29" x14ac:dyDescent="0.3">
      <c r="A61" t="s">
        <v>168</v>
      </c>
      <c r="B61" s="1">
        <v>46061</v>
      </c>
      <c r="C61" s="1">
        <v>46063</v>
      </c>
      <c r="D61" s="1">
        <v>46068</v>
      </c>
      <c r="E61" t="s">
        <v>111</v>
      </c>
      <c r="F61" t="s">
        <v>27</v>
      </c>
      <c r="G61" t="s">
        <v>112</v>
      </c>
      <c r="H61">
        <v>1613</v>
      </c>
      <c r="I61" t="s">
        <v>30</v>
      </c>
      <c r="J61">
        <v>8</v>
      </c>
      <c r="K61">
        <v>19356</v>
      </c>
      <c r="L61">
        <v>7</v>
      </c>
      <c r="M61" t="s">
        <v>160</v>
      </c>
      <c r="N61">
        <v>7</v>
      </c>
      <c r="O61">
        <v>4.7</v>
      </c>
      <c r="P61" t="s">
        <v>32</v>
      </c>
      <c r="Q61" t="s">
        <v>38</v>
      </c>
      <c r="R61" t="s">
        <v>34</v>
      </c>
      <c r="S61">
        <v>3</v>
      </c>
      <c r="T61">
        <v>5</v>
      </c>
      <c r="U61">
        <v>2</v>
      </c>
      <c r="V61" t="s">
        <v>46</v>
      </c>
      <c r="W61" t="s">
        <v>68</v>
      </c>
      <c r="X61" t="s">
        <v>76</v>
      </c>
      <c r="Y61" t="s">
        <v>62</v>
      </c>
      <c r="Z61">
        <v>5</v>
      </c>
      <c r="AA61">
        <f t="shared" si="0"/>
        <v>12</v>
      </c>
      <c r="AB61" t="str">
        <f t="shared" si="1"/>
        <v>Yes</v>
      </c>
      <c r="AC61" t="str">
        <f t="shared" si="2"/>
        <v>Needs Improvement</v>
      </c>
    </row>
    <row r="62" spans="1:29" x14ac:dyDescent="0.3">
      <c r="A62" t="s">
        <v>169</v>
      </c>
      <c r="B62" s="1">
        <v>46060</v>
      </c>
      <c r="C62" s="1">
        <v>46060</v>
      </c>
      <c r="D62" s="1">
        <v>46063</v>
      </c>
      <c r="E62" t="s">
        <v>111</v>
      </c>
      <c r="F62" t="s">
        <v>27</v>
      </c>
      <c r="G62" t="s">
        <v>112</v>
      </c>
      <c r="H62">
        <v>762</v>
      </c>
      <c r="I62" t="s">
        <v>87</v>
      </c>
      <c r="J62">
        <v>10</v>
      </c>
      <c r="K62">
        <v>9144</v>
      </c>
      <c r="L62">
        <v>10</v>
      </c>
      <c r="M62" t="s">
        <v>170</v>
      </c>
      <c r="N62">
        <v>12</v>
      </c>
      <c r="O62">
        <v>4.9000000000000004</v>
      </c>
      <c r="P62" t="s">
        <v>53</v>
      </c>
      <c r="Q62" t="s">
        <v>62</v>
      </c>
      <c r="R62" t="s">
        <v>67</v>
      </c>
      <c r="S62">
        <v>1</v>
      </c>
      <c r="T62">
        <v>3</v>
      </c>
      <c r="U62">
        <v>2</v>
      </c>
      <c r="V62" t="s">
        <v>46</v>
      </c>
      <c r="W62" t="s">
        <v>36</v>
      </c>
      <c r="X62" t="s">
        <v>37</v>
      </c>
      <c r="Y62" t="s">
        <v>33</v>
      </c>
      <c r="Z62">
        <v>3.5</v>
      </c>
      <c r="AA62">
        <f t="shared" si="0"/>
        <v>12</v>
      </c>
      <c r="AB62" t="str">
        <f t="shared" si="1"/>
        <v>Yes</v>
      </c>
      <c r="AC62" t="str">
        <f t="shared" si="2"/>
        <v>Needs Improvement</v>
      </c>
    </row>
    <row r="63" spans="1:29" x14ac:dyDescent="0.3">
      <c r="A63" t="s">
        <v>171</v>
      </c>
      <c r="B63" s="1">
        <v>46119</v>
      </c>
      <c r="C63" s="1">
        <v>46121</v>
      </c>
      <c r="D63" s="1">
        <v>46126</v>
      </c>
      <c r="E63" t="s">
        <v>82</v>
      </c>
      <c r="F63" t="s">
        <v>83</v>
      </c>
      <c r="G63" t="s">
        <v>84</v>
      </c>
      <c r="H63">
        <v>1486</v>
      </c>
      <c r="I63" t="s">
        <v>87</v>
      </c>
      <c r="J63">
        <v>1</v>
      </c>
      <c r="K63">
        <v>11888</v>
      </c>
      <c r="L63">
        <v>8</v>
      </c>
      <c r="M63" t="s">
        <v>172</v>
      </c>
      <c r="N63">
        <v>10</v>
      </c>
      <c r="O63">
        <v>3.7</v>
      </c>
      <c r="P63" t="s">
        <v>45</v>
      </c>
      <c r="Q63" t="s">
        <v>38</v>
      </c>
      <c r="R63" t="s">
        <v>34</v>
      </c>
      <c r="S63">
        <v>3</v>
      </c>
      <c r="T63">
        <v>5</v>
      </c>
      <c r="U63">
        <v>2</v>
      </c>
      <c r="V63" t="s">
        <v>46</v>
      </c>
      <c r="W63" t="s">
        <v>68</v>
      </c>
      <c r="X63" t="s">
        <v>37</v>
      </c>
      <c r="Y63" t="s">
        <v>38</v>
      </c>
      <c r="Z63">
        <v>3.3</v>
      </c>
      <c r="AA63">
        <f t="shared" si="0"/>
        <v>8</v>
      </c>
      <c r="AB63" t="str">
        <f t="shared" si="1"/>
        <v>Yes</v>
      </c>
      <c r="AC63" t="str">
        <f t="shared" si="2"/>
        <v>Needs Improvement</v>
      </c>
    </row>
    <row r="64" spans="1:29" x14ac:dyDescent="0.3">
      <c r="A64" t="s">
        <v>173</v>
      </c>
      <c r="B64" s="1">
        <v>46092</v>
      </c>
      <c r="C64" s="1">
        <v>46093</v>
      </c>
      <c r="D64" s="1">
        <v>46094</v>
      </c>
      <c r="E64" t="s">
        <v>57</v>
      </c>
      <c r="F64" t="s">
        <v>58</v>
      </c>
      <c r="G64" t="s">
        <v>59</v>
      </c>
      <c r="H64">
        <v>536</v>
      </c>
      <c r="I64" t="s">
        <v>30</v>
      </c>
      <c r="J64">
        <v>8</v>
      </c>
      <c r="K64">
        <v>6432</v>
      </c>
      <c r="L64">
        <v>7</v>
      </c>
      <c r="M64" t="s">
        <v>31</v>
      </c>
      <c r="N64">
        <v>14</v>
      </c>
      <c r="O64">
        <v>3.7</v>
      </c>
      <c r="P64" t="s">
        <v>32</v>
      </c>
      <c r="Q64" t="s">
        <v>62</v>
      </c>
      <c r="R64" t="s">
        <v>67</v>
      </c>
      <c r="S64">
        <v>1</v>
      </c>
      <c r="T64">
        <v>1</v>
      </c>
      <c r="U64">
        <v>0</v>
      </c>
      <c r="V64" t="s">
        <v>35</v>
      </c>
      <c r="W64" t="s">
        <v>36</v>
      </c>
      <c r="X64" t="s">
        <v>95</v>
      </c>
      <c r="Y64" t="s">
        <v>33</v>
      </c>
      <c r="Z64">
        <v>3.7</v>
      </c>
      <c r="AA64">
        <f t="shared" si="0"/>
        <v>12</v>
      </c>
      <c r="AB64" t="str">
        <f t="shared" si="1"/>
        <v>No</v>
      </c>
      <c r="AC64" t="str">
        <f t="shared" si="2"/>
        <v>Efficient</v>
      </c>
    </row>
    <row r="65" spans="1:29" x14ac:dyDescent="0.3">
      <c r="A65" t="s">
        <v>174</v>
      </c>
      <c r="B65" s="1">
        <v>46124</v>
      </c>
      <c r="C65" s="1">
        <v>46125</v>
      </c>
      <c r="D65" s="1">
        <v>46127</v>
      </c>
      <c r="E65" t="s">
        <v>27</v>
      </c>
      <c r="F65" t="s">
        <v>28</v>
      </c>
      <c r="G65" t="s">
        <v>29</v>
      </c>
      <c r="H65">
        <v>741</v>
      </c>
      <c r="I65" t="s">
        <v>87</v>
      </c>
      <c r="J65">
        <v>8</v>
      </c>
      <c r="K65">
        <v>5928</v>
      </c>
      <c r="L65">
        <v>10</v>
      </c>
      <c r="M65" t="s">
        <v>31</v>
      </c>
      <c r="N65">
        <v>11</v>
      </c>
      <c r="O65">
        <v>3.5</v>
      </c>
      <c r="P65" t="s">
        <v>53</v>
      </c>
      <c r="Q65" t="s">
        <v>33</v>
      </c>
      <c r="R65" t="s">
        <v>34</v>
      </c>
      <c r="S65">
        <v>1</v>
      </c>
      <c r="T65">
        <v>2</v>
      </c>
      <c r="U65">
        <v>1</v>
      </c>
      <c r="V65" t="s">
        <v>46</v>
      </c>
      <c r="W65" t="s">
        <v>68</v>
      </c>
      <c r="X65" t="s">
        <v>63</v>
      </c>
      <c r="Y65" t="s">
        <v>33</v>
      </c>
      <c r="Z65">
        <v>4.8</v>
      </c>
      <c r="AA65">
        <f t="shared" si="0"/>
        <v>8</v>
      </c>
      <c r="AB65" t="str">
        <f t="shared" si="1"/>
        <v>Yes</v>
      </c>
      <c r="AC65" t="str">
        <f t="shared" si="2"/>
        <v>Needs Improvement</v>
      </c>
    </row>
    <row r="66" spans="1:29" x14ac:dyDescent="0.3">
      <c r="A66" t="s">
        <v>175</v>
      </c>
      <c r="B66" s="1">
        <v>46094</v>
      </c>
      <c r="C66" s="1">
        <v>46095</v>
      </c>
      <c r="D66" s="1">
        <v>46099</v>
      </c>
      <c r="E66" t="s">
        <v>40</v>
      </c>
      <c r="F66" t="s">
        <v>41</v>
      </c>
      <c r="G66" t="s">
        <v>42</v>
      </c>
      <c r="H66">
        <v>1526</v>
      </c>
      <c r="I66" t="s">
        <v>87</v>
      </c>
      <c r="J66">
        <v>8</v>
      </c>
      <c r="K66">
        <v>16786</v>
      </c>
      <c r="L66">
        <v>7</v>
      </c>
      <c r="M66" t="s">
        <v>97</v>
      </c>
      <c r="N66">
        <v>7</v>
      </c>
      <c r="O66">
        <v>3.2</v>
      </c>
      <c r="P66" t="s">
        <v>32</v>
      </c>
      <c r="Q66" t="s">
        <v>38</v>
      </c>
      <c r="R66" t="s">
        <v>34</v>
      </c>
      <c r="S66">
        <v>3</v>
      </c>
      <c r="T66">
        <v>4</v>
      </c>
      <c r="U66">
        <v>1</v>
      </c>
      <c r="V66" t="s">
        <v>46</v>
      </c>
      <c r="W66" t="s">
        <v>36</v>
      </c>
      <c r="X66" t="s">
        <v>63</v>
      </c>
      <c r="Y66" t="s">
        <v>38</v>
      </c>
      <c r="Z66">
        <v>4.8</v>
      </c>
      <c r="AA66">
        <f t="shared" si="0"/>
        <v>11</v>
      </c>
      <c r="AB66" t="str">
        <f t="shared" si="1"/>
        <v>Yes</v>
      </c>
      <c r="AC66" t="str">
        <f t="shared" si="2"/>
        <v>Needs Improvement</v>
      </c>
    </row>
    <row r="67" spans="1:29" x14ac:dyDescent="0.3">
      <c r="A67" t="s">
        <v>176</v>
      </c>
      <c r="B67" s="1">
        <v>46040</v>
      </c>
      <c r="C67" s="1">
        <v>46041</v>
      </c>
      <c r="D67" s="1">
        <v>46046</v>
      </c>
      <c r="E67" t="s">
        <v>92</v>
      </c>
      <c r="F67" t="s">
        <v>93</v>
      </c>
      <c r="G67" t="s">
        <v>94</v>
      </c>
      <c r="H67">
        <v>959</v>
      </c>
      <c r="I67" t="s">
        <v>43</v>
      </c>
      <c r="J67">
        <v>10</v>
      </c>
      <c r="K67">
        <v>10549</v>
      </c>
      <c r="L67">
        <v>10</v>
      </c>
      <c r="M67" t="s">
        <v>70</v>
      </c>
      <c r="N67">
        <v>15</v>
      </c>
      <c r="O67">
        <v>3.8</v>
      </c>
      <c r="P67" t="s">
        <v>32</v>
      </c>
      <c r="Q67" t="s">
        <v>62</v>
      </c>
      <c r="R67" t="s">
        <v>54</v>
      </c>
      <c r="S67">
        <v>2</v>
      </c>
      <c r="T67">
        <v>5</v>
      </c>
      <c r="U67">
        <v>3</v>
      </c>
      <c r="V67" t="s">
        <v>46</v>
      </c>
      <c r="W67" t="s">
        <v>68</v>
      </c>
      <c r="X67" t="s">
        <v>63</v>
      </c>
      <c r="Y67" t="s">
        <v>33</v>
      </c>
      <c r="Z67">
        <v>3.7</v>
      </c>
      <c r="AA67">
        <f t="shared" ref="AA67:AA130" si="3">(K67/H67)</f>
        <v>11</v>
      </c>
      <c r="AB67" t="str">
        <f t="shared" ref="AB67:AB130" si="4">IF(U67&gt;0,"Yes","No")</f>
        <v>Yes</v>
      </c>
      <c r="AC67" t="str">
        <f t="shared" ref="AC67:AC130" si="5">IF(U67=0,"Efficient","Needs Improvement")</f>
        <v>Needs Improvement</v>
      </c>
    </row>
    <row r="68" spans="1:29" x14ac:dyDescent="0.3">
      <c r="A68" t="s">
        <v>177</v>
      </c>
      <c r="B68" s="1">
        <v>46079</v>
      </c>
      <c r="C68" s="1">
        <v>46080</v>
      </c>
      <c r="D68" s="1">
        <v>46082</v>
      </c>
      <c r="E68" t="s">
        <v>40</v>
      </c>
      <c r="F68" t="s">
        <v>41</v>
      </c>
      <c r="G68" t="s">
        <v>42</v>
      </c>
      <c r="H68">
        <v>942</v>
      </c>
      <c r="I68" t="s">
        <v>87</v>
      </c>
      <c r="J68">
        <v>6</v>
      </c>
      <c r="K68">
        <v>9420</v>
      </c>
      <c r="L68">
        <v>10</v>
      </c>
      <c r="M68" t="s">
        <v>178</v>
      </c>
      <c r="N68">
        <v>1</v>
      </c>
      <c r="O68">
        <v>3.8</v>
      </c>
      <c r="P68" t="s">
        <v>45</v>
      </c>
      <c r="Q68" t="s">
        <v>38</v>
      </c>
      <c r="R68" t="s">
        <v>34</v>
      </c>
      <c r="S68">
        <v>2</v>
      </c>
      <c r="T68">
        <v>2</v>
      </c>
      <c r="U68">
        <v>0</v>
      </c>
      <c r="V68" t="s">
        <v>35</v>
      </c>
      <c r="W68" t="s">
        <v>55</v>
      </c>
      <c r="X68" t="s">
        <v>76</v>
      </c>
      <c r="Y68" t="s">
        <v>38</v>
      </c>
      <c r="Z68">
        <v>3.1</v>
      </c>
      <c r="AA68">
        <f t="shared" si="3"/>
        <v>10</v>
      </c>
      <c r="AB68" t="str">
        <f t="shared" si="4"/>
        <v>No</v>
      </c>
      <c r="AC68" t="str">
        <f t="shared" si="5"/>
        <v>Efficient</v>
      </c>
    </row>
    <row r="69" spans="1:29" x14ac:dyDescent="0.3">
      <c r="A69" t="s">
        <v>179</v>
      </c>
      <c r="B69" s="1">
        <v>46065</v>
      </c>
      <c r="C69" s="1">
        <v>46065</v>
      </c>
      <c r="D69" s="1">
        <v>46068</v>
      </c>
      <c r="E69" t="s">
        <v>82</v>
      </c>
      <c r="F69" t="s">
        <v>83</v>
      </c>
      <c r="G69" t="s">
        <v>84</v>
      </c>
      <c r="H69">
        <v>1356</v>
      </c>
      <c r="I69" t="s">
        <v>60</v>
      </c>
      <c r="J69">
        <v>2</v>
      </c>
      <c r="K69">
        <v>16272</v>
      </c>
      <c r="L69">
        <v>9</v>
      </c>
      <c r="M69" t="s">
        <v>90</v>
      </c>
      <c r="N69">
        <v>10</v>
      </c>
      <c r="O69">
        <v>3.4</v>
      </c>
      <c r="P69" t="s">
        <v>45</v>
      </c>
      <c r="Q69" t="s">
        <v>62</v>
      </c>
      <c r="R69" t="s">
        <v>67</v>
      </c>
      <c r="S69">
        <v>3</v>
      </c>
      <c r="T69">
        <v>3</v>
      </c>
      <c r="U69">
        <v>0</v>
      </c>
      <c r="V69" t="s">
        <v>35</v>
      </c>
      <c r="W69" t="s">
        <v>68</v>
      </c>
      <c r="X69" t="s">
        <v>37</v>
      </c>
      <c r="Y69" t="s">
        <v>38</v>
      </c>
      <c r="Z69">
        <v>4.0999999999999996</v>
      </c>
      <c r="AA69">
        <f t="shared" si="3"/>
        <v>12</v>
      </c>
      <c r="AB69" t="str">
        <f t="shared" si="4"/>
        <v>No</v>
      </c>
      <c r="AC69" t="str">
        <f t="shared" si="5"/>
        <v>Efficient</v>
      </c>
    </row>
    <row r="70" spans="1:29" x14ac:dyDescent="0.3">
      <c r="A70" t="s">
        <v>180</v>
      </c>
      <c r="B70" s="1">
        <v>46125</v>
      </c>
      <c r="C70" s="1">
        <v>46125</v>
      </c>
      <c r="D70" s="1">
        <v>46129</v>
      </c>
      <c r="E70" t="s">
        <v>72</v>
      </c>
      <c r="F70" t="s">
        <v>73</v>
      </c>
      <c r="G70" t="s">
        <v>74</v>
      </c>
      <c r="H70">
        <v>1553</v>
      </c>
      <c r="I70" t="s">
        <v>87</v>
      </c>
      <c r="J70">
        <v>3</v>
      </c>
      <c r="K70">
        <v>9318</v>
      </c>
      <c r="L70">
        <v>7</v>
      </c>
      <c r="M70" t="s">
        <v>125</v>
      </c>
      <c r="N70">
        <v>10</v>
      </c>
      <c r="O70">
        <v>3.6</v>
      </c>
      <c r="P70" t="s">
        <v>45</v>
      </c>
      <c r="Q70" t="s">
        <v>62</v>
      </c>
      <c r="R70" t="s">
        <v>67</v>
      </c>
      <c r="S70">
        <v>3</v>
      </c>
      <c r="T70">
        <v>4</v>
      </c>
      <c r="U70">
        <v>1</v>
      </c>
      <c r="V70" t="s">
        <v>46</v>
      </c>
      <c r="W70" t="s">
        <v>55</v>
      </c>
      <c r="X70" t="s">
        <v>63</v>
      </c>
      <c r="Y70" t="s">
        <v>33</v>
      </c>
      <c r="Z70">
        <v>3.1</v>
      </c>
      <c r="AA70">
        <f t="shared" si="3"/>
        <v>6</v>
      </c>
      <c r="AB70" t="str">
        <f t="shared" si="4"/>
        <v>Yes</v>
      </c>
      <c r="AC70" t="str">
        <f t="shared" si="5"/>
        <v>Needs Improvement</v>
      </c>
    </row>
    <row r="71" spans="1:29" x14ac:dyDescent="0.3">
      <c r="A71" t="s">
        <v>181</v>
      </c>
      <c r="B71" s="1">
        <v>46080</v>
      </c>
      <c r="C71" s="1">
        <v>46081</v>
      </c>
      <c r="D71" s="1">
        <v>46084</v>
      </c>
      <c r="E71" t="s">
        <v>72</v>
      </c>
      <c r="F71" t="s">
        <v>73</v>
      </c>
      <c r="G71" t="s">
        <v>74</v>
      </c>
      <c r="H71">
        <v>1125</v>
      </c>
      <c r="I71" t="s">
        <v>60</v>
      </c>
      <c r="J71">
        <v>10</v>
      </c>
      <c r="K71">
        <v>6750</v>
      </c>
      <c r="L71">
        <v>10</v>
      </c>
      <c r="M71" t="s">
        <v>103</v>
      </c>
      <c r="N71">
        <v>9</v>
      </c>
      <c r="O71">
        <v>3.6</v>
      </c>
      <c r="P71" t="s">
        <v>32</v>
      </c>
      <c r="Q71" t="s">
        <v>38</v>
      </c>
      <c r="R71" t="s">
        <v>34</v>
      </c>
      <c r="S71">
        <v>2</v>
      </c>
      <c r="T71">
        <v>3</v>
      </c>
      <c r="U71">
        <v>1</v>
      </c>
      <c r="V71" t="s">
        <v>46</v>
      </c>
      <c r="W71" t="s">
        <v>68</v>
      </c>
      <c r="X71" t="s">
        <v>63</v>
      </c>
      <c r="Y71" t="s">
        <v>62</v>
      </c>
      <c r="Z71">
        <v>4.4000000000000004</v>
      </c>
      <c r="AA71">
        <f t="shared" si="3"/>
        <v>6</v>
      </c>
      <c r="AB71" t="str">
        <f t="shared" si="4"/>
        <v>Yes</v>
      </c>
      <c r="AC71" t="str">
        <f t="shared" si="5"/>
        <v>Needs Improvement</v>
      </c>
    </row>
    <row r="72" spans="1:29" x14ac:dyDescent="0.3">
      <c r="A72" t="s">
        <v>182</v>
      </c>
      <c r="B72" s="1">
        <v>46079</v>
      </c>
      <c r="C72" s="1">
        <v>46079</v>
      </c>
      <c r="D72" s="1">
        <v>46082</v>
      </c>
      <c r="E72" t="s">
        <v>72</v>
      </c>
      <c r="F72" t="s">
        <v>73</v>
      </c>
      <c r="G72" t="s">
        <v>74</v>
      </c>
      <c r="H72">
        <v>859</v>
      </c>
      <c r="I72" t="s">
        <v>60</v>
      </c>
      <c r="J72">
        <v>2</v>
      </c>
      <c r="K72">
        <v>6013</v>
      </c>
      <c r="L72">
        <v>7</v>
      </c>
      <c r="M72" t="s">
        <v>139</v>
      </c>
      <c r="N72">
        <v>11</v>
      </c>
      <c r="O72">
        <v>4.2</v>
      </c>
      <c r="P72" t="s">
        <v>66</v>
      </c>
      <c r="Q72" t="s">
        <v>62</v>
      </c>
      <c r="R72" t="s">
        <v>54</v>
      </c>
      <c r="S72">
        <v>1</v>
      </c>
      <c r="T72">
        <v>3</v>
      </c>
      <c r="U72">
        <v>2</v>
      </c>
      <c r="V72" t="s">
        <v>46</v>
      </c>
      <c r="W72" t="s">
        <v>68</v>
      </c>
      <c r="X72" t="s">
        <v>76</v>
      </c>
      <c r="Y72" t="s">
        <v>33</v>
      </c>
      <c r="Z72">
        <v>3.9</v>
      </c>
      <c r="AA72">
        <f t="shared" si="3"/>
        <v>7</v>
      </c>
      <c r="AB72" t="str">
        <f t="shared" si="4"/>
        <v>Yes</v>
      </c>
      <c r="AC72" t="str">
        <f t="shared" si="5"/>
        <v>Needs Improvement</v>
      </c>
    </row>
    <row r="73" spans="1:29" x14ac:dyDescent="0.3">
      <c r="A73" t="s">
        <v>183</v>
      </c>
      <c r="B73" s="1">
        <v>46124</v>
      </c>
      <c r="C73" s="1">
        <v>46126</v>
      </c>
      <c r="D73" s="1">
        <v>46130</v>
      </c>
      <c r="E73" t="s">
        <v>72</v>
      </c>
      <c r="F73" t="s">
        <v>73</v>
      </c>
      <c r="G73" t="s">
        <v>74</v>
      </c>
      <c r="H73">
        <v>1540</v>
      </c>
      <c r="I73" t="s">
        <v>60</v>
      </c>
      <c r="J73">
        <v>7</v>
      </c>
      <c r="K73">
        <v>13860</v>
      </c>
      <c r="L73">
        <v>6</v>
      </c>
      <c r="M73" t="s">
        <v>114</v>
      </c>
      <c r="N73">
        <v>6</v>
      </c>
      <c r="O73">
        <v>4.7</v>
      </c>
      <c r="P73" t="s">
        <v>53</v>
      </c>
      <c r="Q73" t="s">
        <v>62</v>
      </c>
      <c r="R73" t="s">
        <v>54</v>
      </c>
      <c r="S73">
        <v>3</v>
      </c>
      <c r="T73">
        <v>4</v>
      </c>
      <c r="U73">
        <v>1</v>
      </c>
      <c r="V73" t="s">
        <v>46</v>
      </c>
      <c r="W73" t="s">
        <v>68</v>
      </c>
      <c r="X73" t="s">
        <v>47</v>
      </c>
      <c r="Y73" t="s">
        <v>33</v>
      </c>
      <c r="Z73">
        <v>3.5</v>
      </c>
      <c r="AA73">
        <f t="shared" si="3"/>
        <v>9</v>
      </c>
      <c r="AB73" t="str">
        <f t="shared" si="4"/>
        <v>Yes</v>
      </c>
      <c r="AC73" t="str">
        <f t="shared" si="5"/>
        <v>Needs Improvement</v>
      </c>
    </row>
    <row r="74" spans="1:29" x14ac:dyDescent="0.3">
      <c r="A74" t="s">
        <v>184</v>
      </c>
      <c r="B74" s="1">
        <v>46042</v>
      </c>
      <c r="C74" s="1">
        <v>46044</v>
      </c>
      <c r="D74" s="1">
        <v>46045</v>
      </c>
      <c r="E74" t="s">
        <v>92</v>
      </c>
      <c r="F74" t="s">
        <v>93</v>
      </c>
      <c r="G74" t="s">
        <v>94</v>
      </c>
      <c r="H74">
        <v>337</v>
      </c>
      <c r="I74" t="s">
        <v>87</v>
      </c>
      <c r="J74">
        <v>2</v>
      </c>
      <c r="K74">
        <v>2022</v>
      </c>
      <c r="L74">
        <v>8</v>
      </c>
      <c r="M74" t="s">
        <v>107</v>
      </c>
      <c r="N74">
        <v>12</v>
      </c>
      <c r="O74">
        <v>4.5</v>
      </c>
      <c r="P74" t="s">
        <v>45</v>
      </c>
      <c r="Q74" t="s">
        <v>33</v>
      </c>
      <c r="R74" t="s">
        <v>67</v>
      </c>
      <c r="S74">
        <v>1</v>
      </c>
      <c r="T74">
        <v>1</v>
      </c>
      <c r="U74">
        <v>0</v>
      </c>
      <c r="V74" t="s">
        <v>35</v>
      </c>
      <c r="W74" t="s">
        <v>68</v>
      </c>
      <c r="X74" t="s">
        <v>47</v>
      </c>
      <c r="Y74" t="s">
        <v>33</v>
      </c>
      <c r="Z74">
        <v>4.9000000000000004</v>
      </c>
      <c r="AA74">
        <f t="shared" si="3"/>
        <v>6</v>
      </c>
      <c r="AB74" t="str">
        <f t="shared" si="4"/>
        <v>No</v>
      </c>
      <c r="AC74" t="str">
        <f t="shared" si="5"/>
        <v>Efficient</v>
      </c>
    </row>
    <row r="75" spans="1:29" x14ac:dyDescent="0.3">
      <c r="A75" t="s">
        <v>185</v>
      </c>
      <c r="B75" s="1">
        <v>46077</v>
      </c>
      <c r="C75" s="1">
        <v>46079</v>
      </c>
      <c r="D75" s="1">
        <v>46082</v>
      </c>
      <c r="E75" t="s">
        <v>27</v>
      </c>
      <c r="F75" t="s">
        <v>28</v>
      </c>
      <c r="G75" t="s">
        <v>29</v>
      </c>
      <c r="H75">
        <v>789</v>
      </c>
      <c r="I75" t="s">
        <v>30</v>
      </c>
      <c r="J75">
        <v>6</v>
      </c>
      <c r="K75">
        <v>4734</v>
      </c>
      <c r="L75">
        <v>9</v>
      </c>
      <c r="M75" t="s">
        <v>186</v>
      </c>
      <c r="N75">
        <v>4</v>
      </c>
      <c r="O75">
        <v>3.3</v>
      </c>
      <c r="P75" t="s">
        <v>53</v>
      </c>
      <c r="Q75" t="s">
        <v>38</v>
      </c>
      <c r="R75" t="s">
        <v>67</v>
      </c>
      <c r="S75">
        <v>1</v>
      </c>
      <c r="T75">
        <v>3</v>
      </c>
      <c r="U75">
        <v>2</v>
      </c>
      <c r="V75" t="s">
        <v>46</v>
      </c>
      <c r="W75" t="s">
        <v>68</v>
      </c>
      <c r="X75" t="s">
        <v>63</v>
      </c>
      <c r="Y75" t="s">
        <v>62</v>
      </c>
      <c r="Z75">
        <v>4.0999999999999996</v>
      </c>
      <c r="AA75">
        <f t="shared" si="3"/>
        <v>6</v>
      </c>
      <c r="AB75" t="str">
        <f t="shared" si="4"/>
        <v>Yes</v>
      </c>
      <c r="AC75" t="str">
        <f t="shared" si="5"/>
        <v>Needs Improvement</v>
      </c>
    </row>
    <row r="76" spans="1:29" x14ac:dyDescent="0.3">
      <c r="A76" t="s">
        <v>187</v>
      </c>
      <c r="B76" s="1">
        <v>46126</v>
      </c>
      <c r="C76" s="1">
        <v>46127</v>
      </c>
      <c r="D76" s="1">
        <v>46130</v>
      </c>
      <c r="E76" t="s">
        <v>27</v>
      </c>
      <c r="F76" t="s">
        <v>28</v>
      </c>
      <c r="G76" t="s">
        <v>29</v>
      </c>
      <c r="H76">
        <v>1447</v>
      </c>
      <c r="I76" t="s">
        <v>30</v>
      </c>
      <c r="J76">
        <v>1</v>
      </c>
      <c r="K76">
        <v>10129</v>
      </c>
      <c r="L76">
        <v>7</v>
      </c>
      <c r="M76" t="s">
        <v>65</v>
      </c>
      <c r="N76">
        <v>13</v>
      </c>
      <c r="O76">
        <v>3.6</v>
      </c>
      <c r="P76" t="s">
        <v>66</v>
      </c>
      <c r="Q76" t="s">
        <v>62</v>
      </c>
      <c r="R76" t="s">
        <v>67</v>
      </c>
      <c r="S76">
        <v>3</v>
      </c>
      <c r="T76">
        <v>3</v>
      </c>
      <c r="U76">
        <v>0</v>
      </c>
      <c r="V76" t="s">
        <v>35</v>
      </c>
      <c r="W76" t="s">
        <v>55</v>
      </c>
      <c r="X76" t="s">
        <v>95</v>
      </c>
      <c r="Y76" t="s">
        <v>38</v>
      </c>
      <c r="Z76">
        <v>3.3</v>
      </c>
      <c r="AA76">
        <f t="shared" si="3"/>
        <v>7</v>
      </c>
      <c r="AB76" t="str">
        <f t="shared" si="4"/>
        <v>No</v>
      </c>
      <c r="AC76" t="str">
        <f t="shared" si="5"/>
        <v>Efficient</v>
      </c>
    </row>
    <row r="77" spans="1:29" x14ac:dyDescent="0.3">
      <c r="A77" t="s">
        <v>188</v>
      </c>
      <c r="B77" s="1">
        <v>46104</v>
      </c>
      <c r="C77" s="1">
        <v>46104</v>
      </c>
      <c r="D77" s="1">
        <v>46108</v>
      </c>
      <c r="E77" t="s">
        <v>72</v>
      </c>
      <c r="F77" t="s">
        <v>73</v>
      </c>
      <c r="G77" t="s">
        <v>74</v>
      </c>
      <c r="H77">
        <v>1728</v>
      </c>
      <c r="I77" t="s">
        <v>60</v>
      </c>
      <c r="J77">
        <v>7</v>
      </c>
      <c r="K77">
        <v>15552</v>
      </c>
      <c r="L77">
        <v>8</v>
      </c>
      <c r="M77" t="s">
        <v>143</v>
      </c>
      <c r="N77">
        <v>3</v>
      </c>
      <c r="O77">
        <v>3.7</v>
      </c>
      <c r="P77" t="s">
        <v>66</v>
      </c>
      <c r="Q77" t="s">
        <v>33</v>
      </c>
      <c r="R77" t="s">
        <v>54</v>
      </c>
      <c r="S77">
        <v>3</v>
      </c>
      <c r="T77">
        <v>4</v>
      </c>
      <c r="U77">
        <v>1</v>
      </c>
      <c r="V77" t="s">
        <v>46</v>
      </c>
      <c r="W77" t="s">
        <v>36</v>
      </c>
      <c r="X77" t="s">
        <v>76</v>
      </c>
      <c r="Y77" t="s">
        <v>38</v>
      </c>
      <c r="Z77">
        <v>4.3</v>
      </c>
      <c r="AA77">
        <f t="shared" si="3"/>
        <v>9</v>
      </c>
      <c r="AB77" t="str">
        <f t="shared" si="4"/>
        <v>Yes</v>
      </c>
      <c r="AC77" t="str">
        <f t="shared" si="5"/>
        <v>Needs Improvement</v>
      </c>
    </row>
    <row r="78" spans="1:29" x14ac:dyDescent="0.3">
      <c r="A78" t="s">
        <v>189</v>
      </c>
      <c r="B78" s="1">
        <v>46057</v>
      </c>
      <c r="C78" s="1">
        <v>46058</v>
      </c>
      <c r="D78" s="1">
        <v>46063</v>
      </c>
      <c r="E78" t="s">
        <v>111</v>
      </c>
      <c r="F78" t="s">
        <v>27</v>
      </c>
      <c r="G78" t="s">
        <v>112</v>
      </c>
      <c r="H78">
        <v>1194</v>
      </c>
      <c r="I78" t="s">
        <v>43</v>
      </c>
      <c r="J78">
        <v>7</v>
      </c>
      <c r="K78">
        <v>9552</v>
      </c>
      <c r="L78">
        <v>6</v>
      </c>
      <c r="M78" t="s">
        <v>190</v>
      </c>
      <c r="N78">
        <v>9</v>
      </c>
      <c r="O78">
        <v>3.2</v>
      </c>
      <c r="P78" t="s">
        <v>53</v>
      </c>
      <c r="Q78" t="s">
        <v>38</v>
      </c>
      <c r="R78" t="s">
        <v>34</v>
      </c>
      <c r="S78">
        <v>2</v>
      </c>
      <c r="T78">
        <v>5</v>
      </c>
      <c r="U78">
        <v>3</v>
      </c>
      <c r="V78" t="s">
        <v>46</v>
      </c>
      <c r="W78" t="s">
        <v>55</v>
      </c>
      <c r="X78" t="s">
        <v>47</v>
      </c>
      <c r="Y78" t="s">
        <v>38</v>
      </c>
      <c r="Z78">
        <v>3.4</v>
      </c>
      <c r="AA78">
        <f t="shared" si="3"/>
        <v>8</v>
      </c>
      <c r="AB78" t="str">
        <f t="shared" si="4"/>
        <v>Yes</v>
      </c>
      <c r="AC78" t="str">
        <f t="shared" si="5"/>
        <v>Needs Improvement</v>
      </c>
    </row>
    <row r="79" spans="1:29" x14ac:dyDescent="0.3">
      <c r="A79" t="s">
        <v>191</v>
      </c>
      <c r="B79" s="1">
        <v>46099</v>
      </c>
      <c r="C79" s="1">
        <v>46099</v>
      </c>
      <c r="D79" s="1">
        <v>46101</v>
      </c>
      <c r="E79" t="s">
        <v>27</v>
      </c>
      <c r="F79" t="s">
        <v>28</v>
      </c>
      <c r="G79" t="s">
        <v>29</v>
      </c>
      <c r="H79">
        <v>618</v>
      </c>
      <c r="I79" t="s">
        <v>30</v>
      </c>
      <c r="J79">
        <v>4</v>
      </c>
      <c r="K79">
        <v>7416</v>
      </c>
      <c r="L79">
        <v>6</v>
      </c>
      <c r="M79" t="s">
        <v>190</v>
      </c>
      <c r="N79">
        <v>5</v>
      </c>
      <c r="O79">
        <v>3.6</v>
      </c>
      <c r="P79" t="s">
        <v>32</v>
      </c>
      <c r="Q79" t="s">
        <v>38</v>
      </c>
      <c r="R79" t="s">
        <v>34</v>
      </c>
      <c r="S79">
        <v>1</v>
      </c>
      <c r="T79">
        <v>2</v>
      </c>
      <c r="U79">
        <v>1</v>
      </c>
      <c r="V79" t="s">
        <v>46</v>
      </c>
      <c r="W79" t="s">
        <v>36</v>
      </c>
      <c r="X79" t="s">
        <v>37</v>
      </c>
      <c r="Y79" t="s">
        <v>62</v>
      </c>
      <c r="Z79">
        <v>4.0999999999999996</v>
      </c>
      <c r="AA79">
        <f t="shared" si="3"/>
        <v>12</v>
      </c>
      <c r="AB79" t="str">
        <f t="shared" si="4"/>
        <v>Yes</v>
      </c>
      <c r="AC79" t="str">
        <f t="shared" si="5"/>
        <v>Needs Improvement</v>
      </c>
    </row>
    <row r="80" spans="1:29" x14ac:dyDescent="0.3">
      <c r="A80" t="s">
        <v>192</v>
      </c>
      <c r="B80" s="1">
        <v>46052</v>
      </c>
      <c r="C80" s="1">
        <v>46054</v>
      </c>
      <c r="D80" s="1">
        <v>46060</v>
      </c>
      <c r="E80" t="s">
        <v>49</v>
      </c>
      <c r="F80" t="s">
        <v>50</v>
      </c>
      <c r="G80" t="s">
        <v>51</v>
      </c>
      <c r="H80">
        <v>347</v>
      </c>
      <c r="I80" t="s">
        <v>43</v>
      </c>
      <c r="J80">
        <v>1</v>
      </c>
      <c r="K80">
        <v>3123</v>
      </c>
      <c r="L80">
        <v>5</v>
      </c>
      <c r="M80" t="s">
        <v>61</v>
      </c>
      <c r="N80">
        <v>15</v>
      </c>
      <c r="O80">
        <v>3.2</v>
      </c>
      <c r="P80" t="s">
        <v>66</v>
      </c>
      <c r="Q80" t="s">
        <v>33</v>
      </c>
      <c r="R80" t="s">
        <v>34</v>
      </c>
      <c r="S80">
        <v>1</v>
      </c>
      <c r="T80">
        <v>6</v>
      </c>
      <c r="U80">
        <v>5</v>
      </c>
      <c r="V80" t="s">
        <v>46</v>
      </c>
      <c r="W80" t="s">
        <v>68</v>
      </c>
      <c r="X80" t="s">
        <v>47</v>
      </c>
      <c r="Y80" t="s">
        <v>38</v>
      </c>
      <c r="Z80">
        <v>3.8</v>
      </c>
      <c r="AA80">
        <f t="shared" si="3"/>
        <v>9</v>
      </c>
      <c r="AB80" t="str">
        <f t="shared" si="4"/>
        <v>Yes</v>
      </c>
      <c r="AC80" t="str">
        <f t="shared" si="5"/>
        <v>Needs Improvement</v>
      </c>
    </row>
    <row r="81" spans="1:29" x14ac:dyDescent="0.3">
      <c r="A81" t="s">
        <v>193</v>
      </c>
      <c r="B81" s="1">
        <v>46064</v>
      </c>
      <c r="C81" s="1">
        <v>46064</v>
      </c>
      <c r="D81" s="1">
        <v>46068</v>
      </c>
      <c r="E81" t="s">
        <v>92</v>
      </c>
      <c r="F81" t="s">
        <v>93</v>
      </c>
      <c r="G81" t="s">
        <v>94</v>
      </c>
      <c r="H81">
        <v>1612</v>
      </c>
      <c r="I81" t="s">
        <v>30</v>
      </c>
      <c r="J81">
        <v>2</v>
      </c>
      <c r="K81">
        <v>14508</v>
      </c>
      <c r="L81">
        <v>5</v>
      </c>
      <c r="M81" t="s">
        <v>125</v>
      </c>
      <c r="N81">
        <v>7</v>
      </c>
      <c r="O81">
        <v>4.2</v>
      </c>
      <c r="P81" t="s">
        <v>32</v>
      </c>
      <c r="Q81" t="s">
        <v>62</v>
      </c>
      <c r="R81" t="s">
        <v>34</v>
      </c>
      <c r="S81">
        <v>3</v>
      </c>
      <c r="T81">
        <v>4</v>
      </c>
      <c r="U81">
        <v>1</v>
      </c>
      <c r="V81" t="s">
        <v>46</v>
      </c>
      <c r="W81" t="s">
        <v>36</v>
      </c>
      <c r="X81" t="s">
        <v>47</v>
      </c>
      <c r="Y81" t="s">
        <v>38</v>
      </c>
      <c r="Z81">
        <v>3.2</v>
      </c>
      <c r="AA81">
        <f t="shared" si="3"/>
        <v>9</v>
      </c>
      <c r="AB81" t="str">
        <f t="shared" si="4"/>
        <v>Yes</v>
      </c>
      <c r="AC81" t="str">
        <f t="shared" si="5"/>
        <v>Needs Improvement</v>
      </c>
    </row>
    <row r="82" spans="1:29" x14ac:dyDescent="0.3">
      <c r="A82" t="s">
        <v>194</v>
      </c>
      <c r="B82" s="1">
        <v>46104</v>
      </c>
      <c r="C82" s="1">
        <v>46104</v>
      </c>
      <c r="D82" s="1">
        <v>46108</v>
      </c>
      <c r="E82" t="s">
        <v>40</v>
      </c>
      <c r="F82" t="s">
        <v>41</v>
      </c>
      <c r="G82" t="s">
        <v>42</v>
      </c>
      <c r="H82">
        <v>1789</v>
      </c>
      <c r="I82" t="s">
        <v>30</v>
      </c>
      <c r="J82">
        <v>6</v>
      </c>
      <c r="K82">
        <v>19679</v>
      </c>
      <c r="L82">
        <v>10</v>
      </c>
      <c r="M82" t="s">
        <v>70</v>
      </c>
      <c r="N82">
        <v>4</v>
      </c>
      <c r="O82">
        <v>3.2</v>
      </c>
      <c r="P82" t="s">
        <v>66</v>
      </c>
      <c r="Q82" t="s">
        <v>38</v>
      </c>
      <c r="R82" t="s">
        <v>67</v>
      </c>
      <c r="S82">
        <v>3</v>
      </c>
      <c r="T82">
        <v>4</v>
      </c>
      <c r="U82">
        <v>1</v>
      </c>
      <c r="V82" t="s">
        <v>46</v>
      </c>
      <c r="W82" t="s">
        <v>55</v>
      </c>
      <c r="X82" t="s">
        <v>63</v>
      </c>
      <c r="Y82" t="s">
        <v>38</v>
      </c>
      <c r="Z82">
        <v>4.9000000000000004</v>
      </c>
      <c r="AA82">
        <f t="shared" si="3"/>
        <v>11</v>
      </c>
      <c r="AB82" t="str">
        <f t="shared" si="4"/>
        <v>Yes</v>
      </c>
      <c r="AC82" t="str">
        <f t="shared" si="5"/>
        <v>Needs Improvement</v>
      </c>
    </row>
    <row r="83" spans="1:29" x14ac:dyDescent="0.3">
      <c r="A83" t="s">
        <v>195</v>
      </c>
      <c r="B83" s="1">
        <v>46103</v>
      </c>
      <c r="C83" s="1">
        <v>46104</v>
      </c>
      <c r="D83" s="1">
        <v>46108</v>
      </c>
      <c r="E83" t="s">
        <v>92</v>
      </c>
      <c r="F83" t="s">
        <v>93</v>
      </c>
      <c r="G83" t="s">
        <v>94</v>
      </c>
      <c r="H83">
        <v>1745</v>
      </c>
      <c r="I83" t="s">
        <v>43</v>
      </c>
      <c r="J83">
        <v>10</v>
      </c>
      <c r="K83">
        <v>19195</v>
      </c>
      <c r="L83">
        <v>10</v>
      </c>
      <c r="M83" t="s">
        <v>139</v>
      </c>
      <c r="N83">
        <v>6</v>
      </c>
      <c r="O83">
        <v>4.7</v>
      </c>
      <c r="P83" t="s">
        <v>66</v>
      </c>
      <c r="Q83" t="s">
        <v>38</v>
      </c>
      <c r="R83" t="s">
        <v>34</v>
      </c>
      <c r="S83">
        <v>3</v>
      </c>
      <c r="T83">
        <v>4</v>
      </c>
      <c r="U83">
        <v>1</v>
      </c>
      <c r="V83" t="s">
        <v>46</v>
      </c>
      <c r="W83" t="s">
        <v>68</v>
      </c>
      <c r="X83" t="s">
        <v>47</v>
      </c>
      <c r="Y83" t="s">
        <v>62</v>
      </c>
      <c r="Z83">
        <v>4.2</v>
      </c>
      <c r="AA83">
        <f t="shared" si="3"/>
        <v>11</v>
      </c>
      <c r="AB83" t="str">
        <f t="shared" si="4"/>
        <v>Yes</v>
      </c>
      <c r="AC83" t="str">
        <f t="shared" si="5"/>
        <v>Needs Improvement</v>
      </c>
    </row>
    <row r="84" spans="1:29" x14ac:dyDescent="0.3">
      <c r="A84" t="s">
        <v>196</v>
      </c>
      <c r="B84" s="1">
        <v>46068</v>
      </c>
      <c r="C84" s="1">
        <v>46070</v>
      </c>
      <c r="D84" s="1">
        <v>46074</v>
      </c>
      <c r="E84" t="s">
        <v>72</v>
      </c>
      <c r="F84" t="s">
        <v>73</v>
      </c>
      <c r="G84" t="s">
        <v>74</v>
      </c>
      <c r="H84">
        <v>835</v>
      </c>
      <c r="I84" t="s">
        <v>43</v>
      </c>
      <c r="J84">
        <v>8</v>
      </c>
      <c r="K84">
        <v>5010</v>
      </c>
      <c r="L84">
        <v>5</v>
      </c>
      <c r="M84" t="s">
        <v>80</v>
      </c>
      <c r="N84">
        <v>14</v>
      </c>
      <c r="O84">
        <v>3.6</v>
      </c>
      <c r="P84" t="s">
        <v>32</v>
      </c>
      <c r="Q84" t="s">
        <v>33</v>
      </c>
      <c r="R84" t="s">
        <v>54</v>
      </c>
      <c r="S84">
        <v>1</v>
      </c>
      <c r="T84">
        <v>4</v>
      </c>
      <c r="U84">
        <v>3</v>
      </c>
      <c r="V84" t="s">
        <v>46</v>
      </c>
      <c r="W84" t="s">
        <v>55</v>
      </c>
      <c r="X84" t="s">
        <v>76</v>
      </c>
      <c r="Y84" t="s">
        <v>33</v>
      </c>
      <c r="Z84">
        <v>4.8</v>
      </c>
      <c r="AA84">
        <f t="shared" si="3"/>
        <v>6</v>
      </c>
      <c r="AB84" t="str">
        <f t="shared" si="4"/>
        <v>Yes</v>
      </c>
      <c r="AC84" t="str">
        <f t="shared" si="5"/>
        <v>Needs Improvement</v>
      </c>
    </row>
    <row r="85" spans="1:29" x14ac:dyDescent="0.3">
      <c r="A85" t="s">
        <v>197</v>
      </c>
      <c r="B85" s="1">
        <v>46080</v>
      </c>
      <c r="C85" s="1">
        <v>46082</v>
      </c>
      <c r="D85" s="1">
        <v>46084</v>
      </c>
      <c r="E85" t="s">
        <v>40</v>
      </c>
      <c r="F85" t="s">
        <v>41</v>
      </c>
      <c r="G85" t="s">
        <v>42</v>
      </c>
      <c r="H85">
        <v>858</v>
      </c>
      <c r="I85" t="s">
        <v>43</v>
      </c>
      <c r="J85">
        <v>9</v>
      </c>
      <c r="K85">
        <v>6006</v>
      </c>
      <c r="L85">
        <v>5</v>
      </c>
      <c r="M85" t="s">
        <v>128</v>
      </c>
      <c r="N85">
        <v>2</v>
      </c>
      <c r="O85">
        <v>4.5999999999999996</v>
      </c>
      <c r="P85" t="s">
        <v>66</v>
      </c>
      <c r="Q85" t="s">
        <v>33</v>
      </c>
      <c r="R85" t="s">
        <v>67</v>
      </c>
      <c r="S85">
        <v>1</v>
      </c>
      <c r="T85">
        <v>2</v>
      </c>
      <c r="U85">
        <v>1</v>
      </c>
      <c r="V85" t="s">
        <v>46</v>
      </c>
      <c r="W85" t="s">
        <v>55</v>
      </c>
      <c r="X85" t="s">
        <v>95</v>
      </c>
      <c r="Y85" t="s">
        <v>62</v>
      </c>
      <c r="Z85">
        <v>4</v>
      </c>
      <c r="AA85">
        <f t="shared" si="3"/>
        <v>7</v>
      </c>
      <c r="AB85" t="str">
        <f t="shared" si="4"/>
        <v>Yes</v>
      </c>
      <c r="AC85" t="str">
        <f t="shared" si="5"/>
        <v>Needs Improvement</v>
      </c>
    </row>
    <row r="86" spans="1:29" x14ac:dyDescent="0.3">
      <c r="A86" t="s">
        <v>198</v>
      </c>
      <c r="B86" s="1">
        <v>46101</v>
      </c>
      <c r="C86" s="1">
        <v>46101</v>
      </c>
      <c r="D86" s="1">
        <v>46104</v>
      </c>
      <c r="E86" t="s">
        <v>49</v>
      </c>
      <c r="F86" t="s">
        <v>50</v>
      </c>
      <c r="G86" t="s">
        <v>51</v>
      </c>
      <c r="H86">
        <v>963</v>
      </c>
      <c r="I86" t="s">
        <v>30</v>
      </c>
      <c r="J86">
        <v>7</v>
      </c>
      <c r="K86">
        <v>8667</v>
      </c>
      <c r="L86">
        <v>7</v>
      </c>
      <c r="M86" t="s">
        <v>123</v>
      </c>
      <c r="N86">
        <v>10</v>
      </c>
      <c r="O86">
        <v>3.1</v>
      </c>
      <c r="P86" t="s">
        <v>66</v>
      </c>
      <c r="Q86" t="s">
        <v>38</v>
      </c>
      <c r="R86" t="s">
        <v>34</v>
      </c>
      <c r="S86">
        <v>2</v>
      </c>
      <c r="T86">
        <v>3</v>
      </c>
      <c r="U86">
        <v>1</v>
      </c>
      <c r="V86" t="s">
        <v>46</v>
      </c>
      <c r="W86" t="s">
        <v>68</v>
      </c>
      <c r="X86" t="s">
        <v>47</v>
      </c>
      <c r="Y86" t="s">
        <v>33</v>
      </c>
      <c r="Z86">
        <v>4.7</v>
      </c>
      <c r="AA86">
        <f t="shared" si="3"/>
        <v>9</v>
      </c>
      <c r="AB86" t="str">
        <f t="shared" si="4"/>
        <v>Yes</v>
      </c>
      <c r="AC86" t="str">
        <f t="shared" si="5"/>
        <v>Needs Improvement</v>
      </c>
    </row>
    <row r="87" spans="1:29" x14ac:dyDescent="0.3">
      <c r="A87" t="s">
        <v>199</v>
      </c>
      <c r="B87" s="1">
        <v>46139</v>
      </c>
      <c r="C87" s="1">
        <v>46141</v>
      </c>
      <c r="D87" s="1">
        <v>46142</v>
      </c>
      <c r="E87" t="s">
        <v>82</v>
      </c>
      <c r="F87" t="s">
        <v>83</v>
      </c>
      <c r="G87" t="s">
        <v>84</v>
      </c>
      <c r="H87">
        <v>882</v>
      </c>
      <c r="I87" t="s">
        <v>87</v>
      </c>
      <c r="J87">
        <v>10</v>
      </c>
      <c r="K87">
        <v>9702</v>
      </c>
      <c r="L87">
        <v>6</v>
      </c>
      <c r="M87" t="s">
        <v>178</v>
      </c>
      <c r="N87">
        <v>5</v>
      </c>
      <c r="O87">
        <v>4.9000000000000004</v>
      </c>
      <c r="P87" t="s">
        <v>53</v>
      </c>
      <c r="Q87" t="s">
        <v>38</v>
      </c>
      <c r="R87" t="s">
        <v>54</v>
      </c>
      <c r="S87">
        <v>1</v>
      </c>
      <c r="T87">
        <v>1</v>
      </c>
      <c r="U87">
        <v>0</v>
      </c>
      <c r="V87" t="s">
        <v>35</v>
      </c>
      <c r="W87" t="s">
        <v>68</v>
      </c>
      <c r="X87" t="s">
        <v>76</v>
      </c>
      <c r="Y87" t="s">
        <v>62</v>
      </c>
      <c r="Z87">
        <v>4.3</v>
      </c>
      <c r="AA87">
        <f t="shared" si="3"/>
        <v>11</v>
      </c>
      <c r="AB87" t="str">
        <f t="shared" si="4"/>
        <v>No</v>
      </c>
      <c r="AC87" t="str">
        <f t="shared" si="5"/>
        <v>Efficient</v>
      </c>
    </row>
    <row r="88" spans="1:29" x14ac:dyDescent="0.3">
      <c r="A88" t="s">
        <v>200</v>
      </c>
      <c r="B88" s="1">
        <v>46065</v>
      </c>
      <c r="C88" s="1">
        <v>46065</v>
      </c>
      <c r="D88" s="1">
        <v>46068</v>
      </c>
      <c r="E88" t="s">
        <v>72</v>
      </c>
      <c r="F88" t="s">
        <v>73</v>
      </c>
      <c r="G88" t="s">
        <v>74</v>
      </c>
      <c r="H88">
        <v>1523</v>
      </c>
      <c r="I88" t="s">
        <v>43</v>
      </c>
      <c r="J88">
        <v>9</v>
      </c>
      <c r="K88">
        <v>12184</v>
      </c>
      <c r="L88">
        <v>5</v>
      </c>
      <c r="M88" t="s">
        <v>80</v>
      </c>
      <c r="N88">
        <v>5</v>
      </c>
      <c r="O88">
        <v>3.4</v>
      </c>
      <c r="P88" t="s">
        <v>45</v>
      </c>
      <c r="Q88" t="s">
        <v>62</v>
      </c>
      <c r="R88" t="s">
        <v>34</v>
      </c>
      <c r="S88">
        <v>3</v>
      </c>
      <c r="T88">
        <v>3</v>
      </c>
      <c r="U88">
        <v>0</v>
      </c>
      <c r="V88" t="s">
        <v>35</v>
      </c>
      <c r="W88" t="s">
        <v>36</v>
      </c>
      <c r="X88" t="s">
        <v>37</v>
      </c>
      <c r="Y88" t="s">
        <v>38</v>
      </c>
      <c r="Z88">
        <v>3.6</v>
      </c>
      <c r="AA88">
        <f t="shared" si="3"/>
        <v>8</v>
      </c>
      <c r="AB88" t="str">
        <f t="shared" si="4"/>
        <v>No</v>
      </c>
      <c r="AC88" t="str">
        <f t="shared" si="5"/>
        <v>Efficient</v>
      </c>
    </row>
    <row r="89" spans="1:29" x14ac:dyDescent="0.3">
      <c r="A89" t="s">
        <v>201</v>
      </c>
      <c r="B89" s="1">
        <v>46123</v>
      </c>
      <c r="C89" s="1">
        <v>46123</v>
      </c>
      <c r="D89" s="1">
        <v>46128</v>
      </c>
      <c r="E89" t="s">
        <v>27</v>
      </c>
      <c r="F89" t="s">
        <v>28</v>
      </c>
      <c r="G89" t="s">
        <v>29</v>
      </c>
      <c r="H89">
        <v>1555</v>
      </c>
      <c r="I89" t="s">
        <v>30</v>
      </c>
      <c r="J89">
        <v>10</v>
      </c>
      <c r="K89">
        <v>10885</v>
      </c>
      <c r="L89">
        <v>9</v>
      </c>
      <c r="M89" t="s">
        <v>75</v>
      </c>
      <c r="N89">
        <v>3</v>
      </c>
      <c r="O89">
        <v>3.3</v>
      </c>
      <c r="P89" t="s">
        <v>45</v>
      </c>
      <c r="Q89" t="s">
        <v>33</v>
      </c>
      <c r="R89" t="s">
        <v>34</v>
      </c>
      <c r="S89">
        <v>3</v>
      </c>
      <c r="T89">
        <v>5</v>
      </c>
      <c r="U89">
        <v>2</v>
      </c>
      <c r="V89" t="s">
        <v>46</v>
      </c>
      <c r="W89" t="s">
        <v>55</v>
      </c>
      <c r="X89" t="s">
        <v>37</v>
      </c>
      <c r="Y89" t="s">
        <v>62</v>
      </c>
      <c r="Z89">
        <v>4.2</v>
      </c>
      <c r="AA89">
        <f t="shared" si="3"/>
        <v>7</v>
      </c>
      <c r="AB89" t="str">
        <f t="shared" si="4"/>
        <v>Yes</v>
      </c>
      <c r="AC89" t="str">
        <f t="shared" si="5"/>
        <v>Needs Improvement</v>
      </c>
    </row>
    <row r="90" spans="1:29" x14ac:dyDescent="0.3">
      <c r="A90" t="s">
        <v>202</v>
      </c>
      <c r="B90" s="1">
        <v>46119</v>
      </c>
      <c r="C90" s="1">
        <v>46121</v>
      </c>
      <c r="D90" s="1">
        <v>46124</v>
      </c>
      <c r="E90" t="s">
        <v>92</v>
      </c>
      <c r="F90" t="s">
        <v>93</v>
      </c>
      <c r="G90" t="s">
        <v>94</v>
      </c>
      <c r="H90">
        <v>679</v>
      </c>
      <c r="I90" t="s">
        <v>60</v>
      </c>
      <c r="J90">
        <v>5</v>
      </c>
      <c r="K90">
        <v>8148</v>
      </c>
      <c r="L90">
        <v>8</v>
      </c>
      <c r="M90" t="s">
        <v>160</v>
      </c>
      <c r="N90">
        <v>6</v>
      </c>
      <c r="O90">
        <v>4.4000000000000004</v>
      </c>
      <c r="P90" t="s">
        <v>53</v>
      </c>
      <c r="Q90" t="s">
        <v>62</v>
      </c>
      <c r="R90" t="s">
        <v>34</v>
      </c>
      <c r="S90">
        <v>1</v>
      </c>
      <c r="T90">
        <v>3</v>
      </c>
      <c r="U90">
        <v>2</v>
      </c>
      <c r="V90" t="s">
        <v>46</v>
      </c>
      <c r="W90" t="s">
        <v>55</v>
      </c>
      <c r="X90" t="s">
        <v>95</v>
      </c>
      <c r="Y90" t="s">
        <v>38</v>
      </c>
      <c r="Z90">
        <v>4.5999999999999996</v>
      </c>
      <c r="AA90">
        <f t="shared" si="3"/>
        <v>12</v>
      </c>
      <c r="AB90" t="str">
        <f t="shared" si="4"/>
        <v>Yes</v>
      </c>
      <c r="AC90" t="str">
        <f t="shared" si="5"/>
        <v>Needs Improvement</v>
      </c>
    </row>
    <row r="91" spans="1:29" x14ac:dyDescent="0.3">
      <c r="A91" t="s">
        <v>203</v>
      </c>
      <c r="B91" s="1">
        <v>46125</v>
      </c>
      <c r="C91" s="1">
        <v>46127</v>
      </c>
      <c r="D91" s="1">
        <v>46128</v>
      </c>
      <c r="E91" t="s">
        <v>82</v>
      </c>
      <c r="F91" t="s">
        <v>83</v>
      </c>
      <c r="G91" t="s">
        <v>84</v>
      </c>
      <c r="H91">
        <v>712</v>
      </c>
      <c r="I91" t="s">
        <v>87</v>
      </c>
      <c r="J91">
        <v>8</v>
      </c>
      <c r="K91">
        <v>8544</v>
      </c>
      <c r="L91">
        <v>7</v>
      </c>
      <c r="M91" t="s">
        <v>88</v>
      </c>
      <c r="N91">
        <v>15</v>
      </c>
      <c r="O91">
        <v>3.2</v>
      </c>
      <c r="P91" t="s">
        <v>32</v>
      </c>
      <c r="Q91" t="s">
        <v>62</v>
      </c>
      <c r="R91" t="s">
        <v>67</v>
      </c>
      <c r="S91">
        <v>1</v>
      </c>
      <c r="T91">
        <v>1</v>
      </c>
      <c r="U91">
        <v>0</v>
      </c>
      <c r="V91" t="s">
        <v>35</v>
      </c>
      <c r="W91" t="s">
        <v>68</v>
      </c>
      <c r="X91" t="s">
        <v>95</v>
      </c>
      <c r="Y91" t="s">
        <v>33</v>
      </c>
      <c r="Z91">
        <v>3.3</v>
      </c>
      <c r="AA91">
        <f t="shared" si="3"/>
        <v>12</v>
      </c>
      <c r="AB91" t="str">
        <f t="shared" si="4"/>
        <v>No</v>
      </c>
      <c r="AC91" t="str">
        <f t="shared" si="5"/>
        <v>Efficient</v>
      </c>
    </row>
    <row r="92" spans="1:29" x14ac:dyDescent="0.3">
      <c r="A92" t="s">
        <v>204</v>
      </c>
      <c r="B92" s="1">
        <v>46078</v>
      </c>
      <c r="C92" s="1">
        <v>46078</v>
      </c>
      <c r="D92" s="1">
        <v>46080</v>
      </c>
      <c r="E92" t="s">
        <v>40</v>
      </c>
      <c r="F92" t="s">
        <v>41</v>
      </c>
      <c r="G92" t="s">
        <v>42</v>
      </c>
      <c r="H92">
        <v>1123</v>
      </c>
      <c r="I92" t="s">
        <v>30</v>
      </c>
      <c r="J92">
        <v>1</v>
      </c>
      <c r="K92">
        <v>10107</v>
      </c>
      <c r="L92">
        <v>5</v>
      </c>
      <c r="M92" t="s">
        <v>205</v>
      </c>
      <c r="N92">
        <v>9</v>
      </c>
      <c r="O92">
        <v>3.7</v>
      </c>
      <c r="P92" t="s">
        <v>53</v>
      </c>
      <c r="Q92" t="s">
        <v>38</v>
      </c>
      <c r="R92" t="s">
        <v>34</v>
      </c>
      <c r="S92">
        <v>2</v>
      </c>
      <c r="T92">
        <v>2</v>
      </c>
      <c r="U92">
        <v>0</v>
      </c>
      <c r="V92" t="s">
        <v>35</v>
      </c>
      <c r="W92" t="s">
        <v>68</v>
      </c>
      <c r="X92" t="s">
        <v>63</v>
      </c>
      <c r="Y92" t="s">
        <v>33</v>
      </c>
      <c r="Z92">
        <v>4.3</v>
      </c>
      <c r="AA92">
        <f t="shared" si="3"/>
        <v>9</v>
      </c>
      <c r="AB92" t="str">
        <f t="shared" si="4"/>
        <v>No</v>
      </c>
      <c r="AC92" t="str">
        <f t="shared" si="5"/>
        <v>Efficient</v>
      </c>
    </row>
    <row r="93" spans="1:29" x14ac:dyDescent="0.3">
      <c r="A93" t="s">
        <v>206</v>
      </c>
      <c r="B93" s="1">
        <v>46124</v>
      </c>
      <c r="C93" s="1">
        <v>46124</v>
      </c>
      <c r="D93" s="1">
        <v>46126</v>
      </c>
      <c r="E93" t="s">
        <v>82</v>
      </c>
      <c r="F93" t="s">
        <v>83</v>
      </c>
      <c r="G93" t="s">
        <v>84</v>
      </c>
      <c r="H93">
        <v>278</v>
      </c>
      <c r="I93" t="s">
        <v>30</v>
      </c>
      <c r="J93">
        <v>8</v>
      </c>
      <c r="K93">
        <v>3058</v>
      </c>
      <c r="L93">
        <v>6</v>
      </c>
      <c r="M93" t="s">
        <v>190</v>
      </c>
      <c r="N93">
        <v>12</v>
      </c>
      <c r="O93">
        <v>3.9</v>
      </c>
      <c r="P93" t="s">
        <v>32</v>
      </c>
      <c r="Q93" t="s">
        <v>38</v>
      </c>
      <c r="R93" t="s">
        <v>67</v>
      </c>
      <c r="S93">
        <v>1</v>
      </c>
      <c r="T93">
        <v>2</v>
      </c>
      <c r="U93">
        <v>1</v>
      </c>
      <c r="V93" t="s">
        <v>46</v>
      </c>
      <c r="W93" t="s">
        <v>36</v>
      </c>
      <c r="X93" t="s">
        <v>37</v>
      </c>
      <c r="Y93" t="s">
        <v>33</v>
      </c>
      <c r="Z93">
        <v>4.9000000000000004</v>
      </c>
      <c r="AA93">
        <f t="shared" si="3"/>
        <v>11</v>
      </c>
      <c r="AB93" t="str">
        <f t="shared" si="4"/>
        <v>Yes</v>
      </c>
      <c r="AC93" t="str">
        <f t="shared" si="5"/>
        <v>Needs Improvement</v>
      </c>
    </row>
    <row r="94" spans="1:29" x14ac:dyDescent="0.3">
      <c r="A94" t="s">
        <v>207</v>
      </c>
      <c r="B94" s="1">
        <v>46100</v>
      </c>
      <c r="C94" s="1">
        <v>46102</v>
      </c>
      <c r="D94" s="1">
        <v>46105</v>
      </c>
      <c r="E94" t="s">
        <v>111</v>
      </c>
      <c r="F94" t="s">
        <v>27</v>
      </c>
      <c r="G94" t="s">
        <v>112</v>
      </c>
      <c r="H94">
        <v>427</v>
      </c>
      <c r="I94" t="s">
        <v>30</v>
      </c>
      <c r="J94">
        <v>4</v>
      </c>
      <c r="K94">
        <v>3416</v>
      </c>
      <c r="L94">
        <v>5</v>
      </c>
      <c r="M94" t="s">
        <v>208</v>
      </c>
      <c r="N94">
        <v>4</v>
      </c>
      <c r="O94">
        <v>3.8</v>
      </c>
      <c r="P94" t="s">
        <v>53</v>
      </c>
      <c r="Q94" t="s">
        <v>38</v>
      </c>
      <c r="R94" t="s">
        <v>67</v>
      </c>
      <c r="S94">
        <v>1</v>
      </c>
      <c r="T94">
        <v>3</v>
      </c>
      <c r="U94">
        <v>2</v>
      </c>
      <c r="V94" t="s">
        <v>46</v>
      </c>
      <c r="W94" t="s">
        <v>55</v>
      </c>
      <c r="X94" t="s">
        <v>63</v>
      </c>
      <c r="Y94" t="s">
        <v>33</v>
      </c>
      <c r="Z94">
        <v>4</v>
      </c>
      <c r="AA94">
        <f t="shared" si="3"/>
        <v>8</v>
      </c>
      <c r="AB94" t="str">
        <f t="shared" si="4"/>
        <v>Yes</v>
      </c>
      <c r="AC94" t="str">
        <f t="shared" si="5"/>
        <v>Needs Improvement</v>
      </c>
    </row>
    <row r="95" spans="1:29" x14ac:dyDescent="0.3">
      <c r="A95" t="s">
        <v>209</v>
      </c>
      <c r="B95" s="1">
        <v>46053</v>
      </c>
      <c r="C95" s="1">
        <v>46055</v>
      </c>
      <c r="D95" s="1">
        <v>46058</v>
      </c>
      <c r="E95" t="s">
        <v>82</v>
      </c>
      <c r="F95" t="s">
        <v>83</v>
      </c>
      <c r="G95" t="s">
        <v>84</v>
      </c>
      <c r="H95">
        <v>796</v>
      </c>
      <c r="I95" t="s">
        <v>43</v>
      </c>
      <c r="J95">
        <v>1</v>
      </c>
      <c r="K95">
        <v>7960</v>
      </c>
      <c r="L95">
        <v>7</v>
      </c>
      <c r="M95" t="s">
        <v>125</v>
      </c>
      <c r="N95">
        <v>10</v>
      </c>
      <c r="O95">
        <v>3.8</v>
      </c>
      <c r="P95" t="s">
        <v>32</v>
      </c>
      <c r="Q95" t="s">
        <v>33</v>
      </c>
      <c r="R95" t="s">
        <v>34</v>
      </c>
      <c r="S95">
        <v>1</v>
      </c>
      <c r="T95">
        <v>3</v>
      </c>
      <c r="U95">
        <v>2</v>
      </c>
      <c r="V95" t="s">
        <v>46</v>
      </c>
      <c r="W95" t="s">
        <v>55</v>
      </c>
      <c r="X95" t="s">
        <v>76</v>
      </c>
      <c r="Y95" t="s">
        <v>33</v>
      </c>
      <c r="Z95">
        <v>4.0999999999999996</v>
      </c>
      <c r="AA95">
        <f t="shared" si="3"/>
        <v>10</v>
      </c>
      <c r="AB95" t="str">
        <f t="shared" si="4"/>
        <v>Yes</v>
      </c>
      <c r="AC95" t="str">
        <f t="shared" si="5"/>
        <v>Needs Improvement</v>
      </c>
    </row>
    <row r="96" spans="1:29" x14ac:dyDescent="0.3">
      <c r="A96" t="s">
        <v>210</v>
      </c>
      <c r="B96" s="1">
        <v>46072</v>
      </c>
      <c r="C96" s="1">
        <v>46073</v>
      </c>
      <c r="D96" s="1">
        <v>46076</v>
      </c>
      <c r="E96" t="s">
        <v>27</v>
      </c>
      <c r="F96" t="s">
        <v>28</v>
      </c>
      <c r="G96" t="s">
        <v>29</v>
      </c>
      <c r="H96">
        <v>1501</v>
      </c>
      <c r="I96" t="s">
        <v>43</v>
      </c>
      <c r="J96">
        <v>6</v>
      </c>
      <c r="K96">
        <v>12008</v>
      </c>
      <c r="L96">
        <v>10</v>
      </c>
      <c r="M96" t="s">
        <v>135</v>
      </c>
      <c r="N96">
        <v>6</v>
      </c>
      <c r="O96">
        <v>4.5999999999999996</v>
      </c>
      <c r="P96" t="s">
        <v>66</v>
      </c>
      <c r="Q96" t="s">
        <v>38</v>
      </c>
      <c r="R96" t="s">
        <v>54</v>
      </c>
      <c r="S96">
        <v>3</v>
      </c>
      <c r="T96">
        <v>3</v>
      </c>
      <c r="U96">
        <v>0</v>
      </c>
      <c r="V96" t="s">
        <v>35</v>
      </c>
      <c r="W96" t="s">
        <v>55</v>
      </c>
      <c r="X96" t="s">
        <v>47</v>
      </c>
      <c r="Y96" t="s">
        <v>38</v>
      </c>
      <c r="Z96">
        <v>3.1</v>
      </c>
      <c r="AA96">
        <f t="shared" si="3"/>
        <v>8</v>
      </c>
      <c r="AB96" t="str">
        <f t="shared" si="4"/>
        <v>No</v>
      </c>
      <c r="AC96" t="str">
        <f t="shared" si="5"/>
        <v>Efficient</v>
      </c>
    </row>
    <row r="97" spans="1:29" x14ac:dyDescent="0.3">
      <c r="A97" t="s">
        <v>211</v>
      </c>
      <c r="B97" s="1">
        <v>46092</v>
      </c>
      <c r="C97" s="1">
        <v>46093</v>
      </c>
      <c r="D97" s="1">
        <v>46096</v>
      </c>
      <c r="E97" t="s">
        <v>82</v>
      </c>
      <c r="F97" t="s">
        <v>83</v>
      </c>
      <c r="G97" t="s">
        <v>84</v>
      </c>
      <c r="H97">
        <v>1795</v>
      </c>
      <c r="I97" t="s">
        <v>43</v>
      </c>
      <c r="J97">
        <v>8</v>
      </c>
      <c r="K97">
        <v>19745</v>
      </c>
      <c r="L97">
        <v>6</v>
      </c>
      <c r="M97" t="s">
        <v>147</v>
      </c>
      <c r="N97">
        <v>2</v>
      </c>
      <c r="O97">
        <v>4.4000000000000004</v>
      </c>
      <c r="P97" t="s">
        <v>53</v>
      </c>
      <c r="Q97" t="s">
        <v>38</v>
      </c>
      <c r="R97" t="s">
        <v>34</v>
      </c>
      <c r="S97">
        <v>3</v>
      </c>
      <c r="T97">
        <v>3</v>
      </c>
      <c r="U97">
        <v>0</v>
      </c>
      <c r="V97" t="s">
        <v>35</v>
      </c>
      <c r="W97" t="s">
        <v>36</v>
      </c>
      <c r="X97" t="s">
        <v>63</v>
      </c>
      <c r="Y97" t="s">
        <v>62</v>
      </c>
      <c r="Z97">
        <v>4.9000000000000004</v>
      </c>
      <c r="AA97">
        <f t="shared" si="3"/>
        <v>11</v>
      </c>
      <c r="AB97" t="str">
        <f t="shared" si="4"/>
        <v>No</v>
      </c>
      <c r="AC97" t="str">
        <f t="shared" si="5"/>
        <v>Efficient</v>
      </c>
    </row>
    <row r="98" spans="1:29" x14ac:dyDescent="0.3">
      <c r="A98" t="s">
        <v>212</v>
      </c>
      <c r="B98" s="1">
        <v>46088</v>
      </c>
      <c r="C98" s="1">
        <v>46089</v>
      </c>
      <c r="D98" s="1">
        <v>46091</v>
      </c>
      <c r="E98" t="s">
        <v>92</v>
      </c>
      <c r="F98" t="s">
        <v>93</v>
      </c>
      <c r="G98" t="s">
        <v>94</v>
      </c>
      <c r="H98">
        <v>718</v>
      </c>
      <c r="I98" t="s">
        <v>87</v>
      </c>
      <c r="J98">
        <v>4</v>
      </c>
      <c r="K98">
        <v>5744</v>
      </c>
      <c r="L98">
        <v>7</v>
      </c>
      <c r="M98" t="s">
        <v>170</v>
      </c>
      <c r="N98">
        <v>1</v>
      </c>
      <c r="O98">
        <v>4.7</v>
      </c>
      <c r="P98" t="s">
        <v>66</v>
      </c>
      <c r="Q98" t="s">
        <v>62</v>
      </c>
      <c r="R98" t="s">
        <v>67</v>
      </c>
      <c r="S98">
        <v>1</v>
      </c>
      <c r="T98">
        <v>2</v>
      </c>
      <c r="U98">
        <v>1</v>
      </c>
      <c r="V98" t="s">
        <v>46</v>
      </c>
      <c r="W98" t="s">
        <v>68</v>
      </c>
      <c r="X98" t="s">
        <v>95</v>
      </c>
      <c r="Y98" t="s">
        <v>62</v>
      </c>
      <c r="Z98">
        <v>3.7</v>
      </c>
      <c r="AA98">
        <f t="shared" si="3"/>
        <v>8</v>
      </c>
      <c r="AB98" t="str">
        <f t="shared" si="4"/>
        <v>Yes</v>
      </c>
      <c r="AC98" t="str">
        <f t="shared" si="5"/>
        <v>Needs Improvement</v>
      </c>
    </row>
    <row r="99" spans="1:29" x14ac:dyDescent="0.3">
      <c r="A99" t="s">
        <v>213</v>
      </c>
      <c r="B99" s="1">
        <v>46046</v>
      </c>
      <c r="C99" s="1">
        <v>46047</v>
      </c>
      <c r="D99" s="1">
        <v>46049</v>
      </c>
      <c r="E99" t="s">
        <v>92</v>
      </c>
      <c r="F99" t="s">
        <v>93</v>
      </c>
      <c r="G99" t="s">
        <v>94</v>
      </c>
      <c r="H99">
        <v>952</v>
      </c>
      <c r="I99" t="s">
        <v>30</v>
      </c>
      <c r="J99">
        <v>2</v>
      </c>
      <c r="K99">
        <v>10472</v>
      </c>
      <c r="L99">
        <v>8</v>
      </c>
      <c r="M99" t="s">
        <v>109</v>
      </c>
      <c r="N99">
        <v>7</v>
      </c>
      <c r="O99">
        <v>4.2</v>
      </c>
      <c r="P99" t="s">
        <v>45</v>
      </c>
      <c r="Q99" t="s">
        <v>33</v>
      </c>
      <c r="R99" t="s">
        <v>34</v>
      </c>
      <c r="S99">
        <v>2</v>
      </c>
      <c r="T99">
        <v>2</v>
      </c>
      <c r="U99">
        <v>0</v>
      </c>
      <c r="V99" t="s">
        <v>35</v>
      </c>
      <c r="W99" t="s">
        <v>68</v>
      </c>
      <c r="X99" t="s">
        <v>47</v>
      </c>
      <c r="Y99" t="s">
        <v>62</v>
      </c>
      <c r="Z99">
        <v>3.9</v>
      </c>
      <c r="AA99">
        <f t="shared" si="3"/>
        <v>11</v>
      </c>
      <c r="AB99" t="str">
        <f t="shared" si="4"/>
        <v>No</v>
      </c>
      <c r="AC99" t="str">
        <f t="shared" si="5"/>
        <v>Efficient</v>
      </c>
    </row>
    <row r="100" spans="1:29" x14ac:dyDescent="0.3">
      <c r="A100" t="s">
        <v>214</v>
      </c>
      <c r="B100" s="1">
        <v>46114</v>
      </c>
      <c r="C100" s="1">
        <v>46115</v>
      </c>
      <c r="D100" s="1">
        <v>46118</v>
      </c>
      <c r="E100" t="s">
        <v>82</v>
      </c>
      <c r="F100" t="s">
        <v>83</v>
      </c>
      <c r="G100" t="s">
        <v>84</v>
      </c>
      <c r="H100">
        <v>1612</v>
      </c>
      <c r="I100" t="s">
        <v>43</v>
      </c>
      <c r="J100">
        <v>6</v>
      </c>
      <c r="K100">
        <v>14508</v>
      </c>
      <c r="L100">
        <v>5</v>
      </c>
      <c r="M100" t="s">
        <v>78</v>
      </c>
      <c r="N100">
        <v>14</v>
      </c>
      <c r="O100">
        <v>4.8</v>
      </c>
      <c r="P100" t="s">
        <v>53</v>
      </c>
      <c r="Q100" t="s">
        <v>62</v>
      </c>
      <c r="R100" t="s">
        <v>54</v>
      </c>
      <c r="S100">
        <v>3</v>
      </c>
      <c r="T100">
        <v>3</v>
      </c>
      <c r="U100">
        <v>0</v>
      </c>
      <c r="V100" t="s">
        <v>35</v>
      </c>
      <c r="W100" t="s">
        <v>55</v>
      </c>
      <c r="X100" t="s">
        <v>95</v>
      </c>
      <c r="Y100" t="s">
        <v>62</v>
      </c>
      <c r="Z100">
        <v>4</v>
      </c>
      <c r="AA100">
        <f t="shared" si="3"/>
        <v>9</v>
      </c>
      <c r="AB100" t="str">
        <f t="shared" si="4"/>
        <v>No</v>
      </c>
      <c r="AC100" t="str">
        <f t="shared" si="5"/>
        <v>Efficient</v>
      </c>
    </row>
    <row r="101" spans="1:29" x14ac:dyDescent="0.3">
      <c r="A101" t="s">
        <v>215</v>
      </c>
      <c r="B101" s="1">
        <v>46118</v>
      </c>
      <c r="C101" s="1">
        <v>46120</v>
      </c>
      <c r="D101" s="1">
        <v>46121</v>
      </c>
      <c r="E101" t="s">
        <v>82</v>
      </c>
      <c r="F101" t="s">
        <v>83</v>
      </c>
      <c r="G101" t="s">
        <v>84</v>
      </c>
      <c r="H101">
        <v>263</v>
      </c>
      <c r="I101" t="s">
        <v>60</v>
      </c>
      <c r="J101">
        <v>10</v>
      </c>
      <c r="K101">
        <v>2893</v>
      </c>
      <c r="L101">
        <v>8</v>
      </c>
      <c r="M101" t="s">
        <v>172</v>
      </c>
      <c r="N101">
        <v>3</v>
      </c>
      <c r="O101">
        <v>3.1</v>
      </c>
      <c r="P101" t="s">
        <v>66</v>
      </c>
      <c r="Q101" t="s">
        <v>62</v>
      </c>
      <c r="R101" t="s">
        <v>34</v>
      </c>
      <c r="S101">
        <v>1</v>
      </c>
      <c r="T101">
        <v>1</v>
      </c>
      <c r="U101">
        <v>0</v>
      </c>
      <c r="V101" t="s">
        <v>35</v>
      </c>
      <c r="W101" t="s">
        <v>55</v>
      </c>
      <c r="X101" t="s">
        <v>37</v>
      </c>
      <c r="Y101" t="s">
        <v>33</v>
      </c>
      <c r="Z101">
        <v>3.9</v>
      </c>
      <c r="AA101">
        <f t="shared" si="3"/>
        <v>11</v>
      </c>
      <c r="AB101" t="str">
        <f t="shared" si="4"/>
        <v>No</v>
      </c>
      <c r="AC101" t="str">
        <f t="shared" si="5"/>
        <v>Efficient</v>
      </c>
    </row>
    <row r="102" spans="1:29" x14ac:dyDescent="0.3">
      <c r="A102" t="s">
        <v>216</v>
      </c>
      <c r="B102" s="1">
        <v>46070</v>
      </c>
      <c r="C102" s="1">
        <v>46071</v>
      </c>
      <c r="D102" s="1">
        <v>46076</v>
      </c>
      <c r="E102" t="s">
        <v>92</v>
      </c>
      <c r="F102" t="s">
        <v>93</v>
      </c>
      <c r="G102" t="s">
        <v>94</v>
      </c>
      <c r="H102">
        <v>1762</v>
      </c>
      <c r="I102" t="s">
        <v>87</v>
      </c>
      <c r="J102">
        <v>10</v>
      </c>
      <c r="K102">
        <v>12334</v>
      </c>
      <c r="L102">
        <v>9</v>
      </c>
      <c r="M102" t="s">
        <v>80</v>
      </c>
      <c r="N102">
        <v>7</v>
      </c>
      <c r="O102">
        <v>3.6</v>
      </c>
      <c r="P102" t="s">
        <v>66</v>
      </c>
      <c r="Q102" t="s">
        <v>38</v>
      </c>
      <c r="R102" t="s">
        <v>67</v>
      </c>
      <c r="S102">
        <v>3</v>
      </c>
      <c r="T102">
        <v>5</v>
      </c>
      <c r="U102">
        <v>2</v>
      </c>
      <c r="V102" t="s">
        <v>46</v>
      </c>
      <c r="W102" t="s">
        <v>36</v>
      </c>
      <c r="X102" t="s">
        <v>95</v>
      </c>
      <c r="Y102" t="s">
        <v>33</v>
      </c>
      <c r="Z102">
        <v>3.8</v>
      </c>
      <c r="AA102">
        <f t="shared" si="3"/>
        <v>7</v>
      </c>
      <c r="AB102" t="str">
        <f t="shared" si="4"/>
        <v>Yes</v>
      </c>
      <c r="AC102" t="str">
        <f t="shared" si="5"/>
        <v>Needs Improvement</v>
      </c>
    </row>
    <row r="103" spans="1:29" x14ac:dyDescent="0.3">
      <c r="A103" t="s">
        <v>217</v>
      </c>
      <c r="B103" s="1">
        <v>46094</v>
      </c>
      <c r="C103" s="1">
        <v>46094</v>
      </c>
      <c r="D103" s="1">
        <v>46097</v>
      </c>
      <c r="E103" t="s">
        <v>57</v>
      </c>
      <c r="F103" t="s">
        <v>58</v>
      </c>
      <c r="G103" t="s">
        <v>59</v>
      </c>
      <c r="H103">
        <v>1787</v>
      </c>
      <c r="I103" t="s">
        <v>30</v>
      </c>
      <c r="J103">
        <v>8</v>
      </c>
      <c r="K103">
        <v>12509</v>
      </c>
      <c r="L103">
        <v>9</v>
      </c>
      <c r="M103" t="s">
        <v>99</v>
      </c>
      <c r="N103">
        <v>12</v>
      </c>
      <c r="O103">
        <v>4.8</v>
      </c>
      <c r="P103" t="s">
        <v>53</v>
      </c>
      <c r="Q103" t="s">
        <v>38</v>
      </c>
      <c r="R103" t="s">
        <v>67</v>
      </c>
      <c r="S103">
        <v>3</v>
      </c>
      <c r="T103">
        <v>3</v>
      </c>
      <c r="U103">
        <v>0</v>
      </c>
      <c r="V103" t="s">
        <v>35</v>
      </c>
      <c r="W103" t="s">
        <v>68</v>
      </c>
      <c r="X103" t="s">
        <v>37</v>
      </c>
      <c r="Y103" t="s">
        <v>33</v>
      </c>
      <c r="Z103">
        <v>3.9</v>
      </c>
      <c r="AA103">
        <f t="shared" si="3"/>
        <v>7</v>
      </c>
      <c r="AB103" t="str">
        <f t="shared" si="4"/>
        <v>No</v>
      </c>
      <c r="AC103" t="str">
        <f t="shared" si="5"/>
        <v>Efficient</v>
      </c>
    </row>
    <row r="104" spans="1:29" x14ac:dyDescent="0.3">
      <c r="A104" t="s">
        <v>218</v>
      </c>
      <c r="B104" s="1">
        <v>46034</v>
      </c>
      <c r="C104" s="1">
        <v>46036</v>
      </c>
      <c r="D104" s="1">
        <v>46043</v>
      </c>
      <c r="E104" t="s">
        <v>49</v>
      </c>
      <c r="F104" t="s">
        <v>50</v>
      </c>
      <c r="G104" t="s">
        <v>51</v>
      </c>
      <c r="H104">
        <v>1567</v>
      </c>
      <c r="I104" t="s">
        <v>30</v>
      </c>
      <c r="J104">
        <v>2</v>
      </c>
      <c r="K104">
        <v>15670</v>
      </c>
      <c r="L104">
        <v>9</v>
      </c>
      <c r="M104" t="s">
        <v>99</v>
      </c>
      <c r="N104">
        <v>15</v>
      </c>
      <c r="O104">
        <v>3.6</v>
      </c>
      <c r="P104" t="s">
        <v>45</v>
      </c>
      <c r="Q104" t="s">
        <v>33</v>
      </c>
      <c r="R104" t="s">
        <v>54</v>
      </c>
      <c r="S104">
        <v>3</v>
      </c>
      <c r="T104">
        <v>7</v>
      </c>
      <c r="U104">
        <v>4</v>
      </c>
      <c r="V104" t="s">
        <v>46</v>
      </c>
      <c r="W104" t="s">
        <v>36</v>
      </c>
      <c r="X104" t="s">
        <v>63</v>
      </c>
      <c r="Y104" t="s">
        <v>38</v>
      </c>
      <c r="Z104">
        <v>4.5999999999999996</v>
      </c>
      <c r="AA104">
        <f t="shared" si="3"/>
        <v>10</v>
      </c>
      <c r="AB104" t="str">
        <f t="shared" si="4"/>
        <v>Yes</v>
      </c>
      <c r="AC104" t="str">
        <f t="shared" si="5"/>
        <v>Needs Improvement</v>
      </c>
    </row>
    <row r="105" spans="1:29" x14ac:dyDescent="0.3">
      <c r="A105" t="s">
        <v>219</v>
      </c>
      <c r="B105" s="1">
        <v>46053</v>
      </c>
      <c r="C105" s="1">
        <v>46054</v>
      </c>
      <c r="D105" s="1">
        <v>46058</v>
      </c>
      <c r="E105" t="s">
        <v>27</v>
      </c>
      <c r="F105" t="s">
        <v>28</v>
      </c>
      <c r="G105" t="s">
        <v>29</v>
      </c>
      <c r="H105">
        <v>939</v>
      </c>
      <c r="I105" t="s">
        <v>30</v>
      </c>
      <c r="J105">
        <v>8</v>
      </c>
      <c r="K105">
        <v>11268</v>
      </c>
      <c r="L105">
        <v>9</v>
      </c>
      <c r="M105" t="s">
        <v>147</v>
      </c>
      <c r="N105">
        <v>10</v>
      </c>
      <c r="O105">
        <v>4.8</v>
      </c>
      <c r="P105" t="s">
        <v>32</v>
      </c>
      <c r="Q105" t="s">
        <v>62</v>
      </c>
      <c r="R105" t="s">
        <v>34</v>
      </c>
      <c r="S105">
        <v>2</v>
      </c>
      <c r="T105">
        <v>4</v>
      </c>
      <c r="U105">
        <v>2</v>
      </c>
      <c r="V105" t="s">
        <v>46</v>
      </c>
      <c r="W105" t="s">
        <v>55</v>
      </c>
      <c r="X105" t="s">
        <v>95</v>
      </c>
      <c r="Y105" t="s">
        <v>33</v>
      </c>
      <c r="Z105">
        <v>3.8</v>
      </c>
      <c r="AA105">
        <f t="shared" si="3"/>
        <v>12</v>
      </c>
      <c r="AB105" t="str">
        <f t="shared" si="4"/>
        <v>Yes</v>
      </c>
      <c r="AC105" t="str">
        <f t="shared" si="5"/>
        <v>Needs Improvement</v>
      </c>
    </row>
    <row r="106" spans="1:29" x14ac:dyDescent="0.3">
      <c r="A106" t="s">
        <v>220</v>
      </c>
      <c r="B106" s="1">
        <v>46075</v>
      </c>
      <c r="C106" s="1">
        <v>46077</v>
      </c>
      <c r="D106" s="1">
        <v>46078</v>
      </c>
      <c r="E106" t="s">
        <v>72</v>
      </c>
      <c r="F106" t="s">
        <v>73</v>
      </c>
      <c r="G106" t="s">
        <v>74</v>
      </c>
      <c r="H106">
        <v>456</v>
      </c>
      <c r="I106" t="s">
        <v>30</v>
      </c>
      <c r="J106">
        <v>2</v>
      </c>
      <c r="K106">
        <v>4104</v>
      </c>
      <c r="L106">
        <v>8</v>
      </c>
      <c r="M106" t="s">
        <v>123</v>
      </c>
      <c r="N106">
        <v>9</v>
      </c>
      <c r="O106">
        <v>3.7</v>
      </c>
      <c r="P106" t="s">
        <v>45</v>
      </c>
      <c r="Q106" t="s">
        <v>38</v>
      </c>
      <c r="R106" t="s">
        <v>34</v>
      </c>
      <c r="S106">
        <v>1</v>
      </c>
      <c r="T106">
        <v>1</v>
      </c>
      <c r="U106">
        <v>0</v>
      </c>
      <c r="V106" t="s">
        <v>35</v>
      </c>
      <c r="W106" t="s">
        <v>36</v>
      </c>
      <c r="X106" t="s">
        <v>76</v>
      </c>
      <c r="Y106" t="s">
        <v>38</v>
      </c>
      <c r="Z106">
        <v>3.6</v>
      </c>
      <c r="AA106">
        <f t="shared" si="3"/>
        <v>9</v>
      </c>
      <c r="AB106" t="str">
        <f t="shared" si="4"/>
        <v>No</v>
      </c>
      <c r="AC106" t="str">
        <f t="shared" si="5"/>
        <v>Efficient</v>
      </c>
    </row>
    <row r="107" spans="1:29" x14ac:dyDescent="0.3">
      <c r="A107" t="s">
        <v>221</v>
      </c>
      <c r="B107" s="1">
        <v>46043</v>
      </c>
      <c r="C107" s="1">
        <v>46044</v>
      </c>
      <c r="D107" s="1">
        <v>46051</v>
      </c>
      <c r="E107" t="s">
        <v>40</v>
      </c>
      <c r="F107" t="s">
        <v>41</v>
      </c>
      <c r="G107" t="s">
        <v>42</v>
      </c>
      <c r="H107">
        <v>908</v>
      </c>
      <c r="I107" t="s">
        <v>30</v>
      </c>
      <c r="J107">
        <v>2</v>
      </c>
      <c r="K107">
        <v>7264</v>
      </c>
      <c r="L107">
        <v>6</v>
      </c>
      <c r="M107" t="s">
        <v>222</v>
      </c>
      <c r="N107">
        <v>9</v>
      </c>
      <c r="O107">
        <v>3.5</v>
      </c>
      <c r="P107" t="s">
        <v>66</v>
      </c>
      <c r="Q107" t="s">
        <v>33</v>
      </c>
      <c r="R107" t="s">
        <v>54</v>
      </c>
      <c r="S107">
        <v>2</v>
      </c>
      <c r="T107">
        <v>7</v>
      </c>
      <c r="U107">
        <v>5</v>
      </c>
      <c r="V107" t="s">
        <v>46</v>
      </c>
      <c r="W107" t="s">
        <v>36</v>
      </c>
      <c r="X107" t="s">
        <v>76</v>
      </c>
      <c r="Y107" t="s">
        <v>33</v>
      </c>
      <c r="Z107">
        <v>3.3</v>
      </c>
      <c r="AA107">
        <f t="shared" si="3"/>
        <v>8</v>
      </c>
      <c r="AB107" t="str">
        <f t="shared" si="4"/>
        <v>Yes</v>
      </c>
      <c r="AC107" t="str">
        <f t="shared" si="5"/>
        <v>Needs Improvement</v>
      </c>
    </row>
    <row r="108" spans="1:29" x14ac:dyDescent="0.3">
      <c r="A108" t="s">
        <v>223</v>
      </c>
      <c r="B108" s="1">
        <v>46107</v>
      </c>
      <c r="C108" s="1">
        <v>46109</v>
      </c>
      <c r="D108" s="1">
        <v>46114</v>
      </c>
      <c r="E108" t="s">
        <v>49</v>
      </c>
      <c r="F108" t="s">
        <v>50</v>
      </c>
      <c r="G108" t="s">
        <v>51</v>
      </c>
      <c r="H108">
        <v>1354</v>
      </c>
      <c r="I108" t="s">
        <v>87</v>
      </c>
      <c r="J108">
        <v>1</v>
      </c>
      <c r="K108">
        <v>8124</v>
      </c>
      <c r="L108">
        <v>5</v>
      </c>
      <c r="M108" t="s">
        <v>97</v>
      </c>
      <c r="N108">
        <v>13</v>
      </c>
      <c r="O108">
        <v>4.2</v>
      </c>
      <c r="P108" t="s">
        <v>45</v>
      </c>
      <c r="Q108" t="s">
        <v>33</v>
      </c>
      <c r="R108" t="s">
        <v>34</v>
      </c>
      <c r="S108">
        <v>3</v>
      </c>
      <c r="T108">
        <v>5</v>
      </c>
      <c r="U108">
        <v>2</v>
      </c>
      <c r="V108" t="s">
        <v>46</v>
      </c>
      <c r="W108" t="s">
        <v>55</v>
      </c>
      <c r="X108" t="s">
        <v>47</v>
      </c>
      <c r="Y108" t="s">
        <v>62</v>
      </c>
      <c r="Z108">
        <v>3.5</v>
      </c>
      <c r="AA108">
        <f t="shared" si="3"/>
        <v>6</v>
      </c>
      <c r="AB108" t="str">
        <f t="shared" si="4"/>
        <v>Yes</v>
      </c>
      <c r="AC108" t="str">
        <f t="shared" si="5"/>
        <v>Needs Improvement</v>
      </c>
    </row>
    <row r="109" spans="1:29" x14ac:dyDescent="0.3">
      <c r="A109" t="s">
        <v>224</v>
      </c>
      <c r="B109" s="1">
        <v>46126</v>
      </c>
      <c r="C109" s="1">
        <v>46128</v>
      </c>
      <c r="D109" s="1">
        <v>46130</v>
      </c>
      <c r="E109" t="s">
        <v>111</v>
      </c>
      <c r="F109" t="s">
        <v>27</v>
      </c>
      <c r="G109" t="s">
        <v>112</v>
      </c>
      <c r="H109">
        <v>809</v>
      </c>
      <c r="I109" t="s">
        <v>43</v>
      </c>
      <c r="J109">
        <v>2</v>
      </c>
      <c r="K109">
        <v>8899</v>
      </c>
      <c r="L109">
        <v>5</v>
      </c>
      <c r="M109" t="s">
        <v>101</v>
      </c>
      <c r="N109">
        <v>8</v>
      </c>
      <c r="O109">
        <v>3.8</v>
      </c>
      <c r="P109" t="s">
        <v>53</v>
      </c>
      <c r="Q109" t="s">
        <v>38</v>
      </c>
      <c r="R109" t="s">
        <v>34</v>
      </c>
      <c r="S109">
        <v>1</v>
      </c>
      <c r="T109">
        <v>2</v>
      </c>
      <c r="U109">
        <v>1</v>
      </c>
      <c r="V109" t="s">
        <v>46</v>
      </c>
      <c r="W109" t="s">
        <v>68</v>
      </c>
      <c r="X109" t="s">
        <v>47</v>
      </c>
      <c r="Y109" t="s">
        <v>33</v>
      </c>
      <c r="Z109">
        <v>5</v>
      </c>
      <c r="AA109">
        <f t="shared" si="3"/>
        <v>11</v>
      </c>
      <c r="AB109" t="str">
        <f t="shared" si="4"/>
        <v>Yes</v>
      </c>
      <c r="AC109" t="str">
        <f t="shared" si="5"/>
        <v>Needs Improvement</v>
      </c>
    </row>
    <row r="110" spans="1:29" x14ac:dyDescent="0.3">
      <c r="A110" t="s">
        <v>225</v>
      </c>
      <c r="B110" s="1">
        <v>46067</v>
      </c>
      <c r="C110" s="1">
        <v>46068</v>
      </c>
      <c r="D110" s="1">
        <v>46071</v>
      </c>
      <c r="E110" t="s">
        <v>82</v>
      </c>
      <c r="F110" t="s">
        <v>83</v>
      </c>
      <c r="G110" t="s">
        <v>84</v>
      </c>
      <c r="H110">
        <v>1757</v>
      </c>
      <c r="I110" t="s">
        <v>30</v>
      </c>
      <c r="J110">
        <v>9</v>
      </c>
      <c r="K110">
        <v>17570</v>
      </c>
      <c r="L110">
        <v>5</v>
      </c>
      <c r="M110" t="s">
        <v>226</v>
      </c>
      <c r="N110">
        <v>4</v>
      </c>
      <c r="O110">
        <v>3.9</v>
      </c>
      <c r="P110" t="s">
        <v>66</v>
      </c>
      <c r="Q110" t="s">
        <v>62</v>
      </c>
      <c r="R110" t="s">
        <v>67</v>
      </c>
      <c r="S110">
        <v>3</v>
      </c>
      <c r="T110">
        <v>3</v>
      </c>
      <c r="U110">
        <v>0</v>
      </c>
      <c r="V110" t="s">
        <v>35</v>
      </c>
      <c r="W110" t="s">
        <v>36</v>
      </c>
      <c r="X110" t="s">
        <v>47</v>
      </c>
      <c r="Y110" t="s">
        <v>62</v>
      </c>
      <c r="Z110">
        <v>4.7</v>
      </c>
      <c r="AA110">
        <f t="shared" si="3"/>
        <v>10</v>
      </c>
      <c r="AB110" t="str">
        <f t="shared" si="4"/>
        <v>No</v>
      </c>
      <c r="AC110" t="str">
        <f t="shared" si="5"/>
        <v>Efficient</v>
      </c>
    </row>
    <row r="111" spans="1:29" x14ac:dyDescent="0.3">
      <c r="A111" t="s">
        <v>227</v>
      </c>
      <c r="B111" s="1">
        <v>46076</v>
      </c>
      <c r="C111" s="1">
        <v>46076</v>
      </c>
      <c r="D111" s="1">
        <v>46078</v>
      </c>
      <c r="E111" t="s">
        <v>82</v>
      </c>
      <c r="F111" t="s">
        <v>83</v>
      </c>
      <c r="G111" t="s">
        <v>84</v>
      </c>
      <c r="H111">
        <v>870</v>
      </c>
      <c r="I111" t="s">
        <v>30</v>
      </c>
      <c r="J111">
        <v>4</v>
      </c>
      <c r="K111">
        <v>10440</v>
      </c>
      <c r="L111">
        <v>6</v>
      </c>
      <c r="M111" t="s">
        <v>153</v>
      </c>
      <c r="N111">
        <v>9</v>
      </c>
      <c r="O111">
        <v>3.9</v>
      </c>
      <c r="P111" t="s">
        <v>66</v>
      </c>
      <c r="Q111" t="s">
        <v>62</v>
      </c>
      <c r="R111" t="s">
        <v>67</v>
      </c>
      <c r="S111">
        <v>1</v>
      </c>
      <c r="T111">
        <v>2</v>
      </c>
      <c r="U111">
        <v>1</v>
      </c>
      <c r="V111" t="s">
        <v>46</v>
      </c>
      <c r="W111" t="s">
        <v>55</v>
      </c>
      <c r="X111" t="s">
        <v>95</v>
      </c>
      <c r="Y111" t="s">
        <v>38</v>
      </c>
      <c r="Z111">
        <v>3.4</v>
      </c>
      <c r="AA111">
        <f t="shared" si="3"/>
        <v>12</v>
      </c>
      <c r="AB111" t="str">
        <f t="shared" si="4"/>
        <v>Yes</v>
      </c>
      <c r="AC111" t="str">
        <f t="shared" si="5"/>
        <v>Needs Improvement</v>
      </c>
    </row>
    <row r="112" spans="1:29" x14ac:dyDescent="0.3">
      <c r="A112" t="s">
        <v>228</v>
      </c>
      <c r="B112" s="1">
        <v>46068</v>
      </c>
      <c r="C112" s="1">
        <v>46068</v>
      </c>
      <c r="D112" s="1">
        <v>46069</v>
      </c>
      <c r="E112" t="s">
        <v>27</v>
      </c>
      <c r="F112" t="s">
        <v>28</v>
      </c>
      <c r="G112" t="s">
        <v>29</v>
      </c>
      <c r="H112">
        <v>776</v>
      </c>
      <c r="I112" t="s">
        <v>43</v>
      </c>
      <c r="J112">
        <v>10</v>
      </c>
      <c r="K112">
        <v>9312</v>
      </c>
      <c r="L112">
        <v>10</v>
      </c>
      <c r="M112" t="s">
        <v>123</v>
      </c>
      <c r="N112">
        <v>8</v>
      </c>
      <c r="O112">
        <v>3.6</v>
      </c>
      <c r="P112" t="s">
        <v>32</v>
      </c>
      <c r="Q112" t="s">
        <v>38</v>
      </c>
      <c r="R112" t="s">
        <v>34</v>
      </c>
      <c r="S112">
        <v>1</v>
      </c>
      <c r="T112">
        <v>1</v>
      </c>
      <c r="U112">
        <v>0</v>
      </c>
      <c r="V112" t="s">
        <v>35</v>
      </c>
      <c r="W112" t="s">
        <v>68</v>
      </c>
      <c r="X112" t="s">
        <v>47</v>
      </c>
      <c r="Y112" t="s">
        <v>62</v>
      </c>
      <c r="Z112">
        <v>3.7</v>
      </c>
      <c r="AA112">
        <f t="shared" si="3"/>
        <v>12</v>
      </c>
      <c r="AB112" t="str">
        <f t="shared" si="4"/>
        <v>No</v>
      </c>
      <c r="AC112" t="str">
        <f t="shared" si="5"/>
        <v>Efficient</v>
      </c>
    </row>
    <row r="113" spans="1:29" x14ac:dyDescent="0.3">
      <c r="A113" t="s">
        <v>229</v>
      </c>
      <c r="B113" s="1">
        <v>46074</v>
      </c>
      <c r="C113" s="1">
        <v>46074</v>
      </c>
      <c r="D113" s="1">
        <v>46077</v>
      </c>
      <c r="E113" t="s">
        <v>40</v>
      </c>
      <c r="F113" t="s">
        <v>41</v>
      </c>
      <c r="G113" t="s">
        <v>42</v>
      </c>
      <c r="H113">
        <v>942</v>
      </c>
      <c r="I113" t="s">
        <v>30</v>
      </c>
      <c r="J113">
        <v>2</v>
      </c>
      <c r="K113">
        <v>8478</v>
      </c>
      <c r="L113">
        <v>9</v>
      </c>
      <c r="M113" t="s">
        <v>128</v>
      </c>
      <c r="N113">
        <v>13</v>
      </c>
      <c r="O113">
        <v>4.0999999999999996</v>
      </c>
      <c r="P113" t="s">
        <v>32</v>
      </c>
      <c r="Q113" t="s">
        <v>38</v>
      </c>
      <c r="R113" t="s">
        <v>67</v>
      </c>
      <c r="S113">
        <v>2</v>
      </c>
      <c r="T113">
        <v>3</v>
      </c>
      <c r="U113">
        <v>1</v>
      </c>
      <c r="V113" t="s">
        <v>46</v>
      </c>
      <c r="W113" t="s">
        <v>68</v>
      </c>
      <c r="X113" t="s">
        <v>47</v>
      </c>
      <c r="Y113" t="s">
        <v>33</v>
      </c>
      <c r="Z113">
        <v>4.9000000000000004</v>
      </c>
      <c r="AA113">
        <f t="shared" si="3"/>
        <v>9</v>
      </c>
      <c r="AB113" t="str">
        <f t="shared" si="4"/>
        <v>Yes</v>
      </c>
      <c r="AC113" t="str">
        <f t="shared" si="5"/>
        <v>Needs Improvement</v>
      </c>
    </row>
    <row r="114" spans="1:29" x14ac:dyDescent="0.3">
      <c r="A114" t="s">
        <v>230</v>
      </c>
      <c r="B114" s="1">
        <v>46119</v>
      </c>
      <c r="C114" s="1">
        <v>46119</v>
      </c>
      <c r="D114" s="1">
        <v>46126</v>
      </c>
      <c r="E114" t="s">
        <v>40</v>
      </c>
      <c r="F114" t="s">
        <v>41</v>
      </c>
      <c r="G114" t="s">
        <v>42</v>
      </c>
      <c r="H114">
        <v>1433</v>
      </c>
      <c r="I114" t="s">
        <v>43</v>
      </c>
      <c r="J114">
        <v>9</v>
      </c>
      <c r="K114">
        <v>8598</v>
      </c>
      <c r="L114">
        <v>5</v>
      </c>
      <c r="M114" t="s">
        <v>172</v>
      </c>
      <c r="N114">
        <v>3</v>
      </c>
      <c r="O114">
        <v>4.4000000000000004</v>
      </c>
      <c r="P114" t="s">
        <v>53</v>
      </c>
      <c r="Q114" t="s">
        <v>33</v>
      </c>
      <c r="R114" t="s">
        <v>34</v>
      </c>
      <c r="S114">
        <v>3</v>
      </c>
      <c r="T114">
        <v>7</v>
      </c>
      <c r="U114">
        <v>4</v>
      </c>
      <c r="V114" t="s">
        <v>46</v>
      </c>
      <c r="W114" t="s">
        <v>36</v>
      </c>
      <c r="X114" t="s">
        <v>47</v>
      </c>
      <c r="Y114" t="s">
        <v>33</v>
      </c>
      <c r="Z114">
        <v>3.6</v>
      </c>
      <c r="AA114">
        <f t="shared" si="3"/>
        <v>6</v>
      </c>
      <c r="AB114" t="str">
        <f t="shared" si="4"/>
        <v>Yes</v>
      </c>
      <c r="AC114" t="str">
        <f t="shared" si="5"/>
        <v>Needs Improvement</v>
      </c>
    </row>
    <row r="115" spans="1:29" x14ac:dyDescent="0.3">
      <c r="A115" t="s">
        <v>231</v>
      </c>
      <c r="B115" s="1">
        <v>46073</v>
      </c>
      <c r="C115" s="1">
        <v>46075</v>
      </c>
      <c r="D115" s="1">
        <v>46080</v>
      </c>
      <c r="E115" t="s">
        <v>57</v>
      </c>
      <c r="F115" t="s">
        <v>58</v>
      </c>
      <c r="G115" t="s">
        <v>59</v>
      </c>
      <c r="H115">
        <v>1415</v>
      </c>
      <c r="I115" t="s">
        <v>30</v>
      </c>
      <c r="J115">
        <v>9</v>
      </c>
      <c r="K115">
        <v>16980</v>
      </c>
      <c r="L115">
        <v>9</v>
      </c>
      <c r="M115" t="s">
        <v>52</v>
      </c>
      <c r="N115">
        <v>8</v>
      </c>
      <c r="O115">
        <v>4.4000000000000004</v>
      </c>
      <c r="P115" t="s">
        <v>66</v>
      </c>
      <c r="Q115" t="s">
        <v>62</v>
      </c>
      <c r="R115" t="s">
        <v>67</v>
      </c>
      <c r="S115">
        <v>3</v>
      </c>
      <c r="T115">
        <v>5</v>
      </c>
      <c r="U115">
        <v>2</v>
      </c>
      <c r="V115" t="s">
        <v>46</v>
      </c>
      <c r="W115" t="s">
        <v>55</v>
      </c>
      <c r="X115" t="s">
        <v>63</v>
      </c>
      <c r="Y115" t="s">
        <v>62</v>
      </c>
      <c r="Z115">
        <v>4.2</v>
      </c>
      <c r="AA115">
        <f t="shared" si="3"/>
        <v>12</v>
      </c>
      <c r="AB115" t="str">
        <f t="shared" si="4"/>
        <v>Yes</v>
      </c>
      <c r="AC115" t="str">
        <f t="shared" si="5"/>
        <v>Needs Improvement</v>
      </c>
    </row>
    <row r="116" spans="1:29" x14ac:dyDescent="0.3">
      <c r="A116" t="s">
        <v>232</v>
      </c>
      <c r="B116" s="1">
        <v>46124</v>
      </c>
      <c r="C116" s="1">
        <v>46126</v>
      </c>
      <c r="D116" s="1">
        <v>46133</v>
      </c>
      <c r="E116" t="s">
        <v>27</v>
      </c>
      <c r="F116" t="s">
        <v>28</v>
      </c>
      <c r="G116" t="s">
        <v>29</v>
      </c>
      <c r="H116">
        <v>1422</v>
      </c>
      <c r="I116" t="s">
        <v>43</v>
      </c>
      <c r="J116">
        <v>5</v>
      </c>
      <c r="K116">
        <v>15642</v>
      </c>
      <c r="L116">
        <v>9</v>
      </c>
      <c r="M116" t="s">
        <v>105</v>
      </c>
      <c r="N116">
        <v>4</v>
      </c>
      <c r="O116">
        <v>4.4000000000000004</v>
      </c>
      <c r="P116" t="s">
        <v>53</v>
      </c>
      <c r="Q116" t="s">
        <v>38</v>
      </c>
      <c r="R116" t="s">
        <v>54</v>
      </c>
      <c r="S116">
        <v>3</v>
      </c>
      <c r="T116">
        <v>7</v>
      </c>
      <c r="U116">
        <v>4</v>
      </c>
      <c r="V116" t="s">
        <v>46</v>
      </c>
      <c r="W116" t="s">
        <v>68</v>
      </c>
      <c r="X116" t="s">
        <v>37</v>
      </c>
      <c r="Y116" t="s">
        <v>33</v>
      </c>
      <c r="Z116">
        <v>3.5</v>
      </c>
      <c r="AA116">
        <f t="shared" si="3"/>
        <v>11</v>
      </c>
      <c r="AB116" t="str">
        <f t="shared" si="4"/>
        <v>Yes</v>
      </c>
      <c r="AC116" t="str">
        <f t="shared" si="5"/>
        <v>Needs Improvement</v>
      </c>
    </row>
    <row r="117" spans="1:29" x14ac:dyDescent="0.3">
      <c r="A117" t="s">
        <v>233</v>
      </c>
      <c r="B117" s="1">
        <v>46096</v>
      </c>
      <c r="C117" s="1">
        <v>46098</v>
      </c>
      <c r="D117" s="1">
        <v>46099</v>
      </c>
      <c r="E117" t="s">
        <v>72</v>
      </c>
      <c r="F117" t="s">
        <v>73</v>
      </c>
      <c r="G117" t="s">
        <v>74</v>
      </c>
      <c r="H117">
        <v>590</v>
      </c>
      <c r="I117" t="s">
        <v>87</v>
      </c>
      <c r="J117">
        <v>8</v>
      </c>
      <c r="K117">
        <v>4720</v>
      </c>
      <c r="L117">
        <v>8</v>
      </c>
      <c r="M117" t="s">
        <v>70</v>
      </c>
      <c r="N117">
        <v>7</v>
      </c>
      <c r="O117">
        <v>4.4000000000000004</v>
      </c>
      <c r="P117" t="s">
        <v>53</v>
      </c>
      <c r="Q117" t="s">
        <v>33</v>
      </c>
      <c r="R117" t="s">
        <v>54</v>
      </c>
      <c r="S117">
        <v>1</v>
      </c>
      <c r="T117">
        <v>1</v>
      </c>
      <c r="U117">
        <v>0</v>
      </c>
      <c r="V117" t="s">
        <v>35</v>
      </c>
      <c r="W117" t="s">
        <v>55</v>
      </c>
      <c r="X117" t="s">
        <v>37</v>
      </c>
      <c r="Y117" t="s">
        <v>33</v>
      </c>
      <c r="Z117">
        <v>3.4</v>
      </c>
      <c r="AA117">
        <f t="shared" si="3"/>
        <v>8</v>
      </c>
      <c r="AB117" t="str">
        <f t="shared" si="4"/>
        <v>No</v>
      </c>
      <c r="AC117" t="str">
        <f t="shared" si="5"/>
        <v>Efficient</v>
      </c>
    </row>
    <row r="118" spans="1:29" x14ac:dyDescent="0.3">
      <c r="A118" t="s">
        <v>234</v>
      </c>
      <c r="B118" s="1">
        <v>46064</v>
      </c>
      <c r="C118" s="1">
        <v>46066</v>
      </c>
      <c r="D118" s="1">
        <v>46069</v>
      </c>
      <c r="E118" t="s">
        <v>92</v>
      </c>
      <c r="F118" t="s">
        <v>93</v>
      </c>
      <c r="G118" t="s">
        <v>94</v>
      </c>
      <c r="H118">
        <v>1276</v>
      </c>
      <c r="I118" t="s">
        <v>43</v>
      </c>
      <c r="J118">
        <v>6</v>
      </c>
      <c r="K118">
        <v>8932</v>
      </c>
      <c r="L118">
        <v>8</v>
      </c>
      <c r="M118" t="s">
        <v>52</v>
      </c>
      <c r="N118">
        <v>6</v>
      </c>
      <c r="O118">
        <v>4.0999999999999996</v>
      </c>
      <c r="P118" t="s">
        <v>66</v>
      </c>
      <c r="Q118" t="s">
        <v>33</v>
      </c>
      <c r="R118" t="s">
        <v>34</v>
      </c>
      <c r="S118">
        <v>2</v>
      </c>
      <c r="T118">
        <v>3</v>
      </c>
      <c r="U118">
        <v>1</v>
      </c>
      <c r="V118" t="s">
        <v>46</v>
      </c>
      <c r="W118" t="s">
        <v>55</v>
      </c>
      <c r="X118" t="s">
        <v>47</v>
      </c>
      <c r="Y118" t="s">
        <v>38</v>
      </c>
      <c r="Z118">
        <v>4.9000000000000004</v>
      </c>
      <c r="AA118">
        <f t="shared" si="3"/>
        <v>7</v>
      </c>
      <c r="AB118" t="str">
        <f t="shared" si="4"/>
        <v>Yes</v>
      </c>
      <c r="AC118" t="str">
        <f t="shared" si="5"/>
        <v>Needs Improvement</v>
      </c>
    </row>
    <row r="119" spans="1:29" x14ac:dyDescent="0.3">
      <c r="A119" t="s">
        <v>235</v>
      </c>
      <c r="B119" s="1">
        <v>46061</v>
      </c>
      <c r="C119" s="1">
        <v>46062</v>
      </c>
      <c r="D119" s="1">
        <v>46068</v>
      </c>
      <c r="E119" t="s">
        <v>40</v>
      </c>
      <c r="F119" t="s">
        <v>41</v>
      </c>
      <c r="G119" t="s">
        <v>42</v>
      </c>
      <c r="H119">
        <v>1613</v>
      </c>
      <c r="I119" t="s">
        <v>43</v>
      </c>
      <c r="J119">
        <v>6</v>
      </c>
      <c r="K119">
        <v>14517</v>
      </c>
      <c r="L119">
        <v>7</v>
      </c>
      <c r="M119" t="s">
        <v>88</v>
      </c>
      <c r="N119">
        <v>15</v>
      </c>
      <c r="O119">
        <v>4.9000000000000004</v>
      </c>
      <c r="P119" t="s">
        <v>66</v>
      </c>
      <c r="Q119" t="s">
        <v>62</v>
      </c>
      <c r="R119" t="s">
        <v>67</v>
      </c>
      <c r="S119">
        <v>3</v>
      </c>
      <c r="T119">
        <v>6</v>
      </c>
      <c r="U119">
        <v>3</v>
      </c>
      <c r="V119" t="s">
        <v>46</v>
      </c>
      <c r="W119" t="s">
        <v>68</v>
      </c>
      <c r="X119" t="s">
        <v>47</v>
      </c>
      <c r="Y119" t="s">
        <v>38</v>
      </c>
      <c r="Z119">
        <v>3.6</v>
      </c>
      <c r="AA119">
        <f t="shared" si="3"/>
        <v>9</v>
      </c>
      <c r="AB119" t="str">
        <f t="shared" si="4"/>
        <v>Yes</v>
      </c>
      <c r="AC119" t="str">
        <f t="shared" si="5"/>
        <v>Needs Improvement</v>
      </c>
    </row>
    <row r="120" spans="1:29" x14ac:dyDescent="0.3">
      <c r="A120" t="s">
        <v>236</v>
      </c>
      <c r="B120" s="1">
        <v>46059</v>
      </c>
      <c r="C120" s="1">
        <v>46061</v>
      </c>
      <c r="D120" s="1">
        <v>46063</v>
      </c>
      <c r="E120" t="s">
        <v>72</v>
      </c>
      <c r="F120" t="s">
        <v>73</v>
      </c>
      <c r="G120" t="s">
        <v>74</v>
      </c>
      <c r="H120">
        <v>909</v>
      </c>
      <c r="I120" t="s">
        <v>43</v>
      </c>
      <c r="J120">
        <v>5</v>
      </c>
      <c r="K120">
        <v>9999</v>
      </c>
      <c r="L120">
        <v>8</v>
      </c>
      <c r="M120" t="s">
        <v>90</v>
      </c>
      <c r="N120">
        <v>4</v>
      </c>
      <c r="O120">
        <v>4.7</v>
      </c>
      <c r="P120" t="s">
        <v>66</v>
      </c>
      <c r="Q120" t="s">
        <v>33</v>
      </c>
      <c r="R120" t="s">
        <v>54</v>
      </c>
      <c r="S120">
        <v>2</v>
      </c>
      <c r="T120">
        <v>2</v>
      </c>
      <c r="U120">
        <v>0</v>
      </c>
      <c r="V120" t="s">
        <v>35</v>
      </c>
      <c r="W120" t="s">
        <v>55</v>
      </c>
      <c r="X120" t="s">
        <v>76</v>
      </c>
      <c r="Y120" t="s">
        <v>38</v>
      </c>
      <c r="Z120">
        <v>3.5</v>
      </c>
      <c r="AA120">
        <f t="shared" si="3"/>
        <v>11</v>
      </c>
      <c r="AB120" t="str">
        <f t="shared" si="4"/>
        <v>No</v>
      </c>
      <c r="AC120" t="str">
        <f t="shared" si="5"/>
        <v>Efficient</v>
      </c>
    </row>
    <row r="121" spans="1:29" x14ac:dyDescent="0.3">
      <c r="A121" t="s">
        <v>237</v>
      </c>
      <c r="B121" s="1">
        <v>46108</v>
      </c>
      <c r="C121" s="1">
        <v>46110</v>
      </c>
      <c r="D121" s="1">
        <v>46114</v>
      </c>
      <c r="E121" t="s">
        <v>40</v>
      </c>
      <c r="F121" t="s">
        <v>41</v>
      </c>
      <c r="G121" t="s">
        <v>42</v>
      </c>
      <c r="H121">
        <v>1506</v>
      </c>
      <c r="I121" t="s">
        <v>60</v>
      </c>
      <c r="J121">
        <v>1</v>
      </c>
      <c r="K121">
        <v>9036</v>
      </c>
      <c r="L121">
        <v>8</v>
      </c>
      <c r="M121" t="s">
        <v>143</v>
      </c>
      <c r="N121">
        <v>12</v>
      </c>
      <c r="O121">
        <v>3.9</v>
      </c>
      <c r="P121" t="s">
        <v>45</v>
      </c>
      <c r="Q121" t="s">
        <v>38</v>
      </c>
      <c r="R121" t="s">
        <v>54</v>
      </c>
      <c r="S121">
        <v>3</v>
      </c>
      <c r="T121">
        <v>4</v>
      </c>
      <c r="U121">
        <v>1</v>
      </c>
      <c r="V121" t="s">
        <v>46</v>
      </c>
      <c r="W121" t="s">
        <v>55</v>
      </c>
      <c r="X121" t="s">
        <v>95</v>
      </c>
      <c r="Y121" t="s">
        <v>62</v>
      </c>
      <c r="Z121">
        <v>4.3</v>
      </c>
      <c r="AA121">
        <f t="shared" si="3"/>
        <v>6</v>
      </c>
      <c r="AB121" t="str">
        <f t="shared" si="4"/>
        <v>Yes</v>
      </c>
      <c r="AC121" t="str">
        <f t="shared" si="5"/>
        <v>Needs Improvement</v>
      </c>
    </row>
    <row r="122" spans="1:29" x14ac:dyDescent="0.3">
      <c r="A122" t="s">
        <v>238</v>
      </c>
      <c r="B122" s="1">
        <v>46119</v>
      </c>
      <c r="C122" s="1">
        <v>46120</v>
      </c>
      <c r="D122" s="1">
        <v>46121</v>
      </c>
      <c r="E122" t="s">
        <v>49</v>
      </c>
      <c r="F122" t="s">
        <v>50</v>
      </c>
      <c r="G122" t="s">
        <v>51</v>
      </c>
      <c r="H122">
        <v>784</v>
      </c>
      <c r="I122" t="s">
        <v>87</v>
      </c>
      <c r="J122">
        <v>2</v>
      </c>
      <c r="K122">
        <v>8624</v>
      </c>
      <c r="L122">
        <v>9</v>
      </c>
      <c r="M122" t="s">
        <v>239</v>
      </c>
      <c r="N122">
        <v>9</v>
      </c>
      <c r="O122">
        <v>4.5</v>
      </c>
      <c r="P122" t="s">
        <v>32</v>
      </c>
      <c r="Q122" t="s">
        <v>38</v>
      </c>
      <c r="R122" t="s">
        <v>34</v>
      </c>
      <c r="S122">
        <v>1</v>
      </c>
      <c r="T122">
        <v>1</v>
      </c>
      <c r="U122">
        <v>0</v>
      </c>
      <c r="V122" t="s">
        <v>35</v>
      </c>
      <c r="W122" t="s">
        <v>36</v>
      </c>
      <c r="X122" t="s">
        <v>95</v>
      </c>
      <c r="Y122" t="s">
        <v>62</v>
      </c>
      <c r="Z122">
        <v>3.4</v>
      </c>
      <c r="AA122">
        <f t="shared" si="3"/>
        <v>11</v>
      </c>
      <c r="AB122" t="str">
        <f t="shared" si="4"/>
        <v>No</v>
      </c>
      <c r="AC122" t="str">
        <f t="shared" si="5"/>
        <v>Efficient</v>
      </c>
    </row>
    <row r="123" spans="1:29" x14ac:dyDescent="0.3">
      <c r="A123" t="s">
        <v>240</v>
      </c>
      <c r="B123" s="1">
        <v>46118</v>
      </c>
      <c r="C123" s="1">
        <v>46119</v>
      </c>
      <c r="D123" s="1">
        <v>46122</v>
      </c>
      <c r="E123" t="s">
        <v>27</v>
      </c>
      <c r="F123" t="s">
        <v>28</v>
      </c>
      <c r="G123" t="s">
        <v>29</v>
      </c>
      <c r="H123">
        <v>218</v>
      </c>
      <c r="I123" t="s">
        <v>30</v>
      </c>
      <c r="J123">
        <v>10</v>
      </c>
      <c r="K123">
        <v>2180</v>
      </c>
      <c r="L123">
        <v>5</v>
      </c>
      <c r="M123" t="s">
        <v>143</v>
      </c>
      <c r="N123">
        <v>5</v>
      </c>
      <c r="O123">
        <v>3.9</v>
      </c>
      <c r="P123" t="s">
        <v>53</v>
      </c>
      <c r="Q123" t="s">
        <v>38</v>
      </c>
      <c r="R123" t="s">
        <v>54</v>
      </c>
      <c r="S123">
        <v>1</v>
      </c>
      <c r="T123">
        <v>3</v>
      </c>
      <c r="U123">
        <v>2</v>
      </c>
      <c r="V123" t="s">
        <v>46</v>
      </c>
      <c r="W123" t="s">
        <v>36</v>
      </c>
      <c r="X123" t="s">
        <v>63</v>
      </c>
      <c r="Y123" t="s">
        <v>62</v>
      </c>
      <c r="Z123">
        <v>3.3</v>
      </c>
      <c r="AA123">
        <f t="shared" si="3"/>
        <v>10</v>
      </c>
      <c r="AB123" t="str">
        <f t="shared" si="4"/>
        <v>Yes</v>
      </c>
      <c r="AC123" t="str">
        <f t="shared" si="5"/>
        <v>Needs Improvement</v>
      </c>
    </row>
    <row r="124" spans="1:29" x14ac:dyDescent="0.3">
      <c r="A124" t="s">
        <v>241</v>
      </c>
      <c r="B124" s="1">
        <v>46081</v>
      </c>
      <c r="C124" s="1">
        <v>46083</v>
      </c>
      <c r="D124" s="1">
        <v>46089</v>
      </c>
      <c r="E124" t="s">
        <v>57</v>
      </c>
      <c r="F124" t="s">
        <v>58</v>
      </c>
      <c r="G124" t="s">
        <v>59</v>
      </c>
      <c r="H124">
        <v>1671</v>
      </c>
      <c r="I124" t="s">
        <v>60</v>
      </c>
      <c r="J124">
        <v>1</v>
      </c>
      <c r="K124">
        <v>18381</v>
      </c>
      <c r="L124">
        <v>7</v>
      </c>
      <c r="M124" t="s">
        <v>99</v>
      </c>
      <c r="N124">
        <v>10</v>
      </c>
      <c r="O124">
        <v>4.3</v>
      </c>
      <c r="P124" t="s">
        <v>45</v>
      </c>
      <c r="Q124" t="s">
        <v>38</v>
      </c>
      <c r="R124" t="s">
        <v>54</v>
      </c>
      <c r="S124">
        <v>3</v>
      </c>
      <c r="T124">
        <v>6</v>
      </c>
      <c r="U124">
        <v>3</v>
      </c>
      <c r="V124" t="s">
        <v>46</v>
      </c>
      <c r="W124" t="s">
        <v>68</v>
      </c>
      <c r="X124" t="s">
        <v>76</v>
      </c>
      <c r="Y124" t="s">
        <v>62</v>
      </c>
      <c r="Z124">
        <v>3.2</v>
      </c>
      <c r="AA124">
        <f t="shared" si="3"/>
        <v>11</v>
      </c>
      <c r="AB124" t="str">
        <f t="shared" si="4"/>
        <v>Yes</v>
      </c>
      <c r="AC124" t="str">
        <f t="shared" si="5"/>
        <v>Needs Improvement</v>
      </c>
    </row>
    <row r="125" spans="1:29" x14ac:dyDescent="0.3">
      <c r="A125" t="s">
        <v>242</v>
      </c>
      <c r="B125" s="1">
        <v>46108</v>
      </c>
      <c r="C125" s="1">
        <v>46108</v>
      </c>
      <c r="D125" s="1">
        <v>46109</v>
      </c>
      <c r="E125" t="s">
        <v>82</v>
      </c>
      <c r="F125" t="s">
        <v>83</v>
      </c>
      <c r="G125" t="s">
        <v>84</v>
      </c>
      <c r="H125">
        <v>487</v>
      </c>
      <c r="I125" t="s">
        <v>43</v>
      </c>
      <c r="J125">
        <v>6</v>
      </c>
      <c r="K125">
        <v>3409</v>
      </c>
      <c r="L125">
        <v>5</v>
      </c>
      <c r="M125" t="s">
        <v>243</v>
      </c>
      <c r="N125">
        <v>7</v>
      </c>
      <c r="O125">
        <v>3.5</v>
      </c>
      <c r="P125" t="s">
        <v>66</v>
      </c>
      <c r="Q125" t="s">
        <v>62</v>
      </c>
      <c r="R125" t="s">
        <v>34</v>
      </c>
      <c r="S125">
        <v>1</v>
      </c>
      <c r="T125">
        <v>1</v>
      </c>
      <c r="U125">
        <v>0</v>
      </c>
      <c r="V125" t="s">
        <v>35</v>
      </c>
      <c r="W125" t="s">
        <v>68</v>
      </c>
      <c r="X125" t="s">
        <v>47</v>
      </c>
      <c r="Y125" t="s">
        <v>33</v>
      </c>
      <c r="Z125">
        <v>3.5</v>
      </c>
      <c r="AA125">
        <f t="shared" si="3"/>
        <v>7</v>
      </c>
      <c r="AB125" t="str">
        <f t="shared" si="4"/>
        <v>No</v>
      </c>
      <c r="AC125" t="str">
        <f t="shared" si="5"/>
        <v>Efficient</v>
      </c>
    </row>
    <row r="126" spans="1:29" x14ac:dyDescent="0.3">
      <c r="A126" t="s">
        <v>244</v>
      </c>
      <c r="B126" s="1">
        <v>46108</v>
      </c>
      <c r="C126" s="1">
        <v>46108</v>
      </c>
      <c r="D126" s="1">
        <v>46110</v>
      </c>
      <c r="E126" t="s">
        <v>92</v>
      </c>
      <c r="F126" t="s">
        <v>93</v>
      </c>
      <c r="G126" t="s">
        <v>94</v>
      </c>
      <c r="H126">
        <v>828</v>
      </c>
      <c r="I126" t="s">
        <v>60</v>
      </c>
      <c r="J126">
        <v>7</v>
      </c>
      <c r="K126">
        <v>9108</v>
      </c>
      <c r="L126">
        <v>9</v>
      </c>
      <c r="M126" t="s">
        <v>245</v>
      </c>
      <c r="N126">
        <v>13</v>
      </c>
      <c r="O126">
        <v>3.6</v>
      </c>
      <c r="P126" t="s">
        <v>32</v>
      </c>
      <c r="Q126" t="s">
        <v>33</v>
      </c>
      <c r="R126" t="s">
        <v>34</v>
      </c>
      <c r="S126">
        <v>1</v>
      </c>
      <c r="T126">
        <v>2</v>
      </c>
      <c r="U126">
        <v>1</v>
      </c>
      <c r="V126" t="s">
        <v>46</v>
      </c>
      <c r="W126" t="s">
        <v>36</v>
      </c>
      <c r="X126" t="s">
        <v>37</v>
      </c>
      <c r="Y126" t="s">
        <v>62</v>
      </c>
      <c r="Z126">
        <v>3.3</v>
      </c>
      <c r="AA126">
        <f t="shared" si="3"/>
        <v>11</v>
      </c>
      <c r="AB126" t="str">
        <f t="shared" si="4"/>
        <v>Yes</v>
      </c>
      <c r="AC126" t="str">
        <f t="shared" si="5"/>
        <v>Needs Improvement</v>
      </c>
    </row>
    <row r="127" spans="1:29" x14ac:dyDescent="0.3">
      <c r="A127" t="s">
        <v>246</v>
      </c>
      <c r="B127" s="1">
        <v>46118</v>
      </c>
      <c r="C127" s="1">
        <v>46120</v>
      </c>
      <c r="D127" s="1">
        <v>46122</v>
      </c>
      <c r="E127" t="s">
        <v>49</v>
      </c>
      <c r="F127" t="s">
        <v>50</v>
      </c>
      <c r="G127" t="s">
        <v>51</v>
      </c>
      <c r="H127">
        <v>1051</v>
      </c>
      <c r="I127" t="s">
        <v>43</v>
      </c>
      <c r="J127">
        <v>9</v>
      </c>
      <c r="K127">
        <v>12612</v>
      </c>
      <c r="L127">
        <v>10</v>
      </c>
      <c r="M127" t="s">
        <v>90</v>
      </c>
      <c r="N127">
        <v>13</v>
      </c>
      <c r="O127">
        <v>3.5</v>
      </c>
      <c r="P127" t="s">
        <v>32</v>
      </c>
      <c r="Q127" t="s">
        <v>33</v>
      </c>
      <c r="R127" t="s">
        <v>34</v>
      </c>
      <c r="S127">
        <v>2</v>
      </c>
      <c r="T127">
        <v>2</v>
      </c>
      <c r="U127">
        <v>0</v>
      </c>
      <c r="V127" t="s">
        <v>35</v>
      </c>
      <c r="W127" t="s">
        <v>55</v>
      </c>
      <c r="X127" t="s">
        <v>63</v>
      </c>
      <c r="Y127" t="s">
        <v>38</v>
      </c>
      <c r="Z127">
        <v>4.7</v>
      </c>
      <c r="AA127">
        <f t="shared" si="3"/>
        <v>12</v>
      </c>
      <c r="AB127" t="str">
        <f t="shared" si="4"/>
        <v>No</v>
      </c>
      <c r="AC127" t="str">
        <f t="shared" si="5"/>
        <v>Efficient</v>
      </c>
    </row>
    <row r="128" spans="1:29" x14ac:dyDescent="0.3">
      <c r="A128" t="s">
        <v>247</v>
      </c>
      <c r="B128" s="1">
        <v>46138</v>
      </c>
      <c r="C128" s="1">
        <v>46140</v>
      </c>
      <c r="D128" s="1">
        <v>46143</v>
      </c>
      <c r="E128" t="s">
        <v>40</v>
      </c>
      <c r="F128" t="s">
        <v>41</v>
      </c>
      <c r="G128" t="s">
        <v>42</v>
      </c>
      <c r="H128">
        <v>1372</v>
      </c>
      <c r="I128" t="s">
        <v>60</v>
      </c>
      <c r="J128">
        <v>3</v>
      </c>
      <c r="K128">
        <v>10976</v>
      </c>
      <c r="L128">
        <v>9</v>
      </c>
      <c r="M128" t="s">
        <v>128</v>
      </c>
      <c r="N128">
        <v>2</v>
      </c>
      <c r="O128">
        <v>4.4000000000000004</v>
      </c>
      <c r="P128" t="s">
        <v>53</v>
      </c>
      <c r="Q128" t="s">
        <v>38</v>
      </c>
      <c r="R128" t="s">
        <v>54</v>
      </c>
      <c r="S128">
        <v>3</v>
      </c>
      <c r="T128">
        <v>3</v>
      </c>
      <c r="U128">
        <v>0</v>
      </c>
      <c r="V128" t="s">
        <v>35</v>
      </c>
      <c r="W128" t="s">
        <v>68</v>
      </c>
      <c r="X128" t="s">
        <v>37</v>
      </c>
      <c r="Y128" t="s">
        <v>33</v>
      </c>
      <c r="Z128">
        <v>3.8</v>
      </c>
      <c r="AA128">
        <f t="shared" si="3"/>
        <v>8</v>
      </c>
      <c r="AB128" t="str">
        <f t="shared" si="4"/>
        <v>No</v>
      </c>
      <c r="AC128" t="str">
        <f t="shared" si="5"/>
        <v>Efficient</v>
      </c>
    </row>
    <row r="129" spans="1:29" x14ac:dyDescent="0.3">
      <c r="A129" t="s">
        <v>248</v>
      </c>
      <c r="B129" s="1">
        <v>46095</v>
      </c>
      <c r="C129" s="1">
        <v>46095</v>
      </c>
      <c r="D129" s="1">
        <v>46099</v>
      </c>
      <c r="E129" t="s">
        <v>92</v>
      </c>
      <c r="F129" t="s">
        <v>93</v>
      </c>
      <c r="G129" t="s">
        <v>94</v>
      </c>
      <c r="H129">
        <v>1577</v>
      </c>
      <c r="I129" t="s">
        <v>30</v>
      </c>
      <c r="J129">
        <v>1</v>
      </c>
      <c r="K129">
        <v>14193</v>
      </c>
      <c r="L129">
        <v>7</v>
      </c>
      <c r="M129" t="s">
        <v>158</v>
      </c>
      <c r="N129">
        <v>12</v>
      </c>
      <c r="O129">
        <v>3.4</v>
      </c>
      <c r="P129" t="s">
        <v>32</v>
      </c>
      <c r="Q129" t="s">
        <v>38</v>
      </c>
      <c r="R129" t="s">
        <v>34</v>
      </c>
      <c r="S129">
        <v>3</v>
      </c>
      <c r="T129">
        <v>4</v>
      </c>
      <c r="U129">
        <v>1</v>
      </c>
      <c r="V129" t="s">
        <v>46</v>
      </c>
      <c r="W129" t="s">
        <v>55</v>
      </c>
      <c r="X129" t="s">
        <v>63</v>
      </c>
      <c r="Y129" t="s">
        <v>33</v>
      </c>
      <c r="Z129">
        <v>5</v>
      </c>
      <c r="AA129">
        <f t="shared" si="3"/>
        <v>9</v>
      </c>
      <c r="AB129" t="str">
        <f t="shared" si="4"/>
        <v>Yes</v>
      </c>
      <c r="AC129" t="str">
        <f t="shared" si="5"/>
        <v>Needs Improvement</v>
      </c>
    </row>
    <row r="130" spans="1:29" x14ac:dyDescent="0.3">
      <c r="A130" t="s">
        <v>249</v>
      </c>
      <c r="B130" s="1">
        <v>46142</v>
      </c>
      <c r="C130" s="1">
        <v>46142</v>
      </c>
      <c r="D130" s="1">
        <v>46144</v>
      </c>
      <c r="E130" t="s">
        <v>92</v>
      </c>
      <c r="F130" t="s">
        <v>93</v>
      </c>
      <c r="G130" t="s">
        <v>94</v>
      </c>
      <c r="H130">
        <v>264</v>
      </c>
      <c r="I130" t="s">
        <v>30</v>
      </c>
      <c r="J130">
        <v>7</v>
      </c>
      <c r="K130">
        <v>1848</v>
      </c>
      <c r="L130">
        <v>6</v>
      </c>
      <c r="M130" t="s">
        <v>170</v>
      </c>
      <c r="N130">
        <v>11</v>
      </c>
      <c r="O130">
        <v>5</v>
      </c>
      <c r="P130" t="s">
        <v>53</v>
      </c>
      <c r="Q130" t="s">
        <v>62</v>
      </c>
      <c r="R130" t="s">
        <v>34</v>
      </c>
      <c r="S130">
        <v>1</v>
      </c>
      <c r="T130">
        <v>2</v>
      </c>
      <c r="U130">
        <v>1</v>
      </c>
      <c r="V130" t="s">
        <v>46</v>
      </c>
      <c r="W130" t="s">
        <v>68</v>
      </c>
      <c r="X130" t="s">
        <v>63</v>
      </c>
      <c r="Y130" t="s">
        <v>33</v>
      </c>
      <c r="Z130">
        <v>4.9000000000000004</v>
      </c>
      <c r="AA130">
        <f t="shared" si="3"/>
        <v>7</v>
      </c>
      <c r="AB130" t="str">
        <f t="shared" si="4"/>
        <v>Yes</v>
      </c>
      <c r="AC130" t="str">
        <f t="shared" si="5"/>
        <v>Needs Improvement</v>
      </c>
    </row>
    <row r="131" spans="1:29" x14ac:dyDescent="0.3">
      <c r="A131" t="s">
        <v>250</v>
      </c>
      <c r="B131" s="1">
        <v>46134</v>
      </c>
      <c r="C131" s="1">
        <v>46136</v>
      </c>
      <c r="D131" s="1">
        <v>46140</v>
      </c>
      <c r="E131" t="s">
        <v>82</v>
      </c>
      <c r="F131" t="s">
        <v>83</v>
      </c>
      <c r="G131" t="s">
        <v>84</v>
      </c>
      <c r="H131">
        <v>1538</v>
      </c>
      <c r="I131" t="s">
        <v>30</v>
      </c>
      <c r="J131">
        <v>2</v>
      </c>
      <c r="K131">
        <v>10766</v>
      </c>
      <c r="L131">
        <v>9</v>
      </c>
      <c r="M131" t="s">
        <v>205</v>
      </c>
      <c r="N131">
        <v>9</v>
      </c>
      <c r="O131">
        <v>3.3</v>
      </c>
      <c r="P131" t="s">
        <v>45</v>
      </c>
      <c r="Q131" t="s">
        <v>38</v>
      </c>
      <c r="R131" t="s">
        <v>67</v>
      </c>
      <c r="S131">
        <v>3</v>
      </c>
      <c r="T131">
        <v>4</v>
      </c>
      <c r="U131">
        <v>1</v>
      </c>
      <c r="V131" t="s">
        <v>46</v>
      </c>
      <c r="W131" t="s">
        <v>55</v>
      </c>
      <c r="X131" t="s">
        <v>76</v>
      </c>
      <c r="Y131" t="s">
        <v>62</v>
      </c>
      <c r="Z131">
        <v>4.0999999999999996</v>
      </c>
      <c r="AA131">
        <f t="shared" ref="AA131:AA194" si="6">(K131/H131)</f>
        <v>7</v>
      </c>
      <c r="AB131" t="str">
        <f t="shared" ref="AB131:AB194" si="7">IF(U131&gt;0,"Yes","No")</f>
        <v>Yes</v>
      </c>
      <c r="AC131" t="str">
        <f t="shared" ref="AC131:AC194" si="8">IF(U131=0,"Efficient","Needs Improvement")</f>
        <v>Needs Improvement</v>
      </c>
    </row>
    <row r="132" spans="1:29" x14ac:dyDescent="0.3">
      <c r="A132" t="s">
        <v>251</v>
      </c>
      <c r="B132" s="1">
        <v>46128</v>
      </c>
      <c r="C132" s="1">
        <v>46128</v>
      </c>
      <c r="D132" s="1">
        <v>46130</v>
      </c>
      <c r="E132" t="s">
        <v>40</v>
      </c>
      <c r="F132" t="s">
        <v>41</v>
      </c>
      <c r="G132" t="s">
        <v>42</v>
      </c>
      <c r="H132">
        <v>1143</v>
      </c>
      <c r="I132" t="s">
        <v>30</v>
      </c>
      <c r="J132">
        <v>3</v>
      </c>
      <c r="K132">
        <v>9144</v>
      </c>
      <c r="L132">
        <v>6</v>
      </c>
      <c r="M132" t="s">
        <v>78</v>
      </c>
      <c r="N132">
        <v>13</v>
      </c>
      <c r="O132">
        <v>3.2</v>
      </c>
      <c r="P132" t="s">
        <v>53</v>
      </c>
      <c r="Q132" t="s">
        <v>33</v>
      </c>
      <c r="R132" t="s">
        <v>67</v>
      </c>
      <c r="S132">
        <v>2</v>
      </c>
      <c r="T132">
        <v>2</v>
      </c>
      <c r="U132">
        <v>0</v>
      </c>
      <c r="V132" t="s">
        <v>35</v>
      </c>
      <c r="W132" t="s">
        <v>36</v>
      </c>
      <c r="X132" t="s">
        <v>76</v>
      </c>
      <c r="Y132" t="s">
        <v>38</v>
      </c>
      <c r="Z132">
        <v>3.9</v>
      </c>
      <c r="AA132">
        <f t="shared" si="6"/>
        <v>8</v>
      </c>
      <c r="AB132" t="str">
        <f t="shared" si="7"/>
        <v>No</v>
      </c>
      <c r="AC132" t="str">
        <f t="shared" si="8"/>
        <v>Efficient</v>
      </c>
    </row>
    <row r="133" spans="1:29" x14ac:dyDescent="0.3">
      <c r="A133" t="s">
        <v>252</v>
      </c>
      <c r="B133" s="1">
        <v>46109</v>
      </c>
      <c r="C133" s="1">
        <v>46111</v>
      </c>
      <c r="D133" s="1">
        <v>46113</v>
      </c>
      <c r="E133" t="s">
        <v>27</v>
      </c>
      <c r="F133" t="s">
        <v>28</v>
      </c>
      <c r="G133" t="s">
        <v>29</v>
      </c>
      <c r="H133">
        <v>701</v>
      </c>
      <c r="I133" t="s">
        <v>87</v>
      </c>
      <c r="J133">
        <v>7</v>
      </c>
      <c r="K133">
        <v>6309</v>
      </c>
      <c r="L133">
        <v>6</v>
      </c>
      <c r="M133" t="s">
        <v>52</v>
      </c>
      <c r="N133">
        <v>4</v>
      </c>
      <c r="O133">
        <v>4.5</v>
      </c>
      <c r="P133" t="s">
        <v>32</v>
      </c>
      <c r="Q133" t="s">
        <v>38</v>
      </c>
      <c r="R133" t="s">
        <v>54</v>
      </c>
      <c r="S133">
        <v>1</v>
      </c>
      <c r="T133">
        <v>2</v>
      </c>
      <c r="U133">
        <v>1</v>
      </c>
      <c r="V133" t="s">
        <v>46</v>
      </c>
      <c r="W133" t="s">
        <v>36</v>
      </c>
      <c r="X133" t="s">
        <v>76</v>
      </c>
      <c r="Y133" t="s">
        <v>62</v>
      </c>
      <c r="Z133">
        <v>4.2</v>
      </c>
      <c r="AA133">
        <f t="shared" si="6"/>
        <v>9</v>
      </c>
      <c r="AB133" t="str">
        <f t="shared" si="7"/>
        <v>Yes</v>
      </c>
      <c r="AC133" t="str">
        <f t="shared" si="8"/>
        <v>Needs Improvement</v>
      </c>
    </row>
    <row r="134" spans="1:29" x14ac:dyDescent="0.3">
      <c r="A134" t="s">
        <v>253</v>
      </c>
      <c r="B134" s="1">
        <v>46121</v>
      </c>
      <c r="C134" s="1">
        <v>46123</v>
      </c>
      <c r="D134" s="1">
        <v>46127</v>
      </c>
      <c r="E134" t="s">
        <v>49</v>
      </c>
      <c r="F134" t="s">
        <v>50</v>
      </c>
      <c r="G134" t="s">
        <v>51</v>
      </c>
      <c r="H134">
        <v>685</v>
      </c>
      <c r="I134" t="s">
        <v>30</v>
      </c>
      <c r="J134">
        <v>3</v>
      </c>
      <c r="K134">
        <v>7535</v>
      </c>
      <c r="L134">
        <v>9</v>
      </c>
      <c r="M134" t="s">
        <v>239</v>
      </c>
      <c r="N134">
        <v>7</v>
      </c>
      <c r="O134">
        <v>3.6</v>
      </c>
      <c r="P134" t="s">
        <v>32</v>
      </c>
      <c r="Q134" t="s">
        <v>33</v>
      </c>
      <c r="R134" t="s">
        <v>54</v>
      </c>
      <c r="S134">
        <v>1</v>
      </c>
      <c r="T134">
        <v>4</v>
      </c>
      <c r="U134">
        <v>3</v>
      </c>
      <c r="V134" t="s">
        <v>46</v>
      </c>
      <c r="W134" t="s">
        <v>55</v>
      </c>
      <c r="X134" t="s">
        <v>95</v>
      </c>
      <c r="Y134" t="s">
        <v>38</v>
      </c>
      <c r="Z134">
        <v>4.9000000000000004</v>
      </c>
      <c r="AA134">
        <f t="shared" si="6"/>
        <v>11</v>
      </c>
      <c r="AB134" t="str">
        <f t="shared" si="7"/>
        <v>Yes</v>
      </c>
      <c r="AC134" t="str">
        <f t="shared" si="8"/>
        <v>Needs Improvement</v>
      </c>
    </row>
    <row r="135" spans="1:29" x14ac:dyDescent="0.3">
      <c r="A135" t="s">
        <v>254</v>
      </c>
      <c r="B135" s="1">
        <v>46143</v>
      </c>
      <c r="C135" s="1">
        <v>46145</v>
      </c>
      <c r="D135" s="1">
        <v>46149</v>
      </c>
      <c r="E135" t="s">
        <v>111</v>
      </c>
      <c r="F135" t="s">
        <v>27</v>
      </c>
      <c r="G135" t="s">
        <v>112</v>
      </c>
      <c r="H135">
        <v>1274</v>
      </c>
      <c r="I135" t="s">
        <v>30</v>
      </c>
      <c r="J135">
        <v>7</v>
      </c>
      <c r="K135">
        <v>11466</v>
      </c>
      <c r="L135">
        <v>6</v>
      </c>
      <c r="M135" t="s">
        <v>131</v>
      </c>
      <c r="N135">
        <v>7</v>
      </c>
      <c r="O135">
        <v>3.4</v>
      </c>
      <c r="P135" t="s">
        <v>53</v>
      </c>
      <c r="Q135" t="s">
        <v>38</v>
      </c>
      <c r="R135" t="s">
        <v>67</v>
      </c>
      <c r="S135">
        <v>2</v>
      </c>
      <c r="T135">
        <v>4</v>
      </c>
      <c r="U135">
        <v>2</v>
      </c>
      <c r="V135" t="s">
        <v>46</v>
      </c>
      <c r="W135" t="s">
        <v>36</v>
      </c>
      <c r="X135" t="s">
        <v>95</v>
      </c>
      <c r="Y135" t="s">
        <v>38</v>
      </c>
      <c r="Z135">
        <v>4.0999999999999996</v>
      </c>
      <c r="AA135">
        <f t="shared" si="6"/>
        <v>9</v>
      </c>
      <c r="AB135" t="str">
        <f t="shared" si="7"/>
        <v>Yes</v>
      </c>
      <c r="AC135" t="str">
        <f t="shared" si="8"/>
        <v>Needs Improvement</v>
      </c>
    </row>
    <row r="136" spans="1:29" x14ac:dyDescent="0.3">
      <c r="A136" t="s">
        <v>255</v>
      </c>
      <c r="B136" s="1">
        <v>46076</v>
      </c>
      <c r="C136" s="1">
        <v>46078</v>
      </c>
      <c r="D136" s="1">
        <v>46081</v>
      </c>
      <c r="E136" t="s">
        <v>82</v>
      </c>
      <c r="F136" t="s">
        <v>83</v>
      </c>
      <c r="G136" t="s">
        <v>84</v>
      </c>
      <c r="H136">
        <v>995</v>
      </c>
      <c r="I136" t="s">
        <v>60</v>
      </c>
      <c r="J136">
        <v>5</v>
      </c>
      <c r="K136">
        <v>6965</v>
      </c>
      <c r="L136">
        <v>7</v>
      </c>
      <c r="M136" t="s">
        <v>97</v>
      </c>
      <c r="N136">
        <v>2</v>
      </c>
      <c r="O136">
        <v>4.8</v>
      </c>
      <c r="P136" t="s">
        <v>66</v>
      </c>
      <c r="Q136" t="s">
        <v>38</v>
      </c>
      <c r="R136" t="s">
        <v>54</v>
      </c>
      <c r="S136">
        <v>2</v>
      </c>
      <c r="T136">
        <v>3</v>
      </c>
      <c r="U136">
        <v>1</v>
      </c>
      <c r="V136" t="s">
        <v>46</v>
      </c>
      <c r="W136" t="s">
        <v>36</v>
      </c>
      <c r="X136" t="s">
        <v>47</v>
      </c>
      <c r="Y136" t="s">
        <v>62</v>
      </c>
      <c r="Z136">
        <v>4.3</v>
      </c>
      <c r="AA136">
        <f t="shared" si="6"/>
        <v>7</v>
      </c>
      <c r="AB136" t="str">
        <f t="shared" si="7"/>
        <v>Yes</v>
      </c>
      <c r="AC136" t="str">
        <f t="shared" si="8"/>
        <v>Needs Improvement</v>
      </c>
    </row>
    <row r="137" spans="1:29" x14ac:dyDescent="0.3">
      <c r="A137" t="s">
        <v>256</v>
      </c>
      <c r="B137" s="1">
        <v>46100</v>
      </c>
      <c r="C137" s="1">
        <v>46100</v>
      </c>
      <c r="D137" s="1">
        <v>46105</v>
      </c>
      <c r="E137" t="s">
        <v>72</v>
      </c>
      <c r="F137" t="s">
        <v>73</v>
      </c>
      <c r="G137" t="s">
        <v>74</v>
      </c>
      <c r="H137">
        <v>585</v>
      </c>
      <c r="I137" t="s">
        <v>60</v>
      </c>
      <c r="J137">
        <v>8</v>
      </c>
      <c r="K137">
        <v>4095</v>
      </c>
      <c r="L137">
        <v>7</v>
      </c>
      <c r="M137" t="s">
        <v>131</v>
      </c>
      <c r="N137">
        <v>15</v>
      </c>
      <c r="O137">
        <v>3</v>
      </c>
      <c r="P137" t="s">
        <v>45</v>
      </c>
      <c r="Q137" t="s">
        <v>33</v>
      </c>
      <c r="R137" t="s">
        <v>67</v>
      </c>
      <c r="S137">
        <v>1</v>
      </c>
      <c r="T137">
        <v>5</v>
      </c>
      <c r="U137">
        <v>4</v>
      </c>
      <c r="V137" t="s">
        <v>46</v>
      </c>
      <c r="W137" t="s">
        <v>55</v>
      </c>
      <c r="X137" t="s">
        <v>37</v>
      </c>
      <c r="Y137" t="s">
        <v>62</v>
      </c>
      <c r="Z137">
        <v>4.8</v>
      </c>
      <c r="AA137">
        <f t="shared" si="6"/>
        <v>7</v>
      </c>
      <c r="AB137" t="str">
        <f t="shared" si="7"/>
        <v>Yes</v>
      </c>
      <c r="AC137" t="str">
        <f t="shared" si="8"/>
        <v>Needs Improvement</v>
      </c>
    </row>
    <row r="138" spans="1:29" x14ac:dyDescent="0.3">
      <c r="A138" t="s">
        <v>257</v>
      </c>
      <c r="B138" s="1">
        <v>46093</v>
      </c>
      <c r="C138" s="1">
        <v>46094</v>
      </c>
      <c r="D138" s="1">
        <v>46099</v>
      </c>
      <c r="E138" t="s">
        <v>57</v>
      </c>
      <c r="F138" t="s">
        <v>58</v>
      </c>
      <c r="G138" t="s">
        <v>59</v>
      </c>
      <c r="H138">
        <v>979</v>
      </c>
      <c r="I138" t="s">
        <v>43</v>
      </c>
      <c r="J138">
        <v>9</v>
      </c>
      <c r="K138">
        <v>10769</v>
      </c>
      <c r="L138">
        <v>7</v>
      </c>
      <c r="M138" t="s">
        <v>131</v>
      </c>
      <c r="N138">
        <v>5</v>
      </c>
      <c r="O138">
        <v>3.7</v>
      </c>
      <c r="P138" t="s">
        <v>53</v>
      </c>
      <c r="Q138" t="s">
        <v>62</v>
      </c>
      <c r="R138" t="s">
        <v>67</v>
      </c>
      <c r="S138">
        <v>2</v>
      </c>
      <c r="T138">
        <v>5</v>
      </c>
      <c r="U138">
        <v>3</v>
      </c>
      <c r="V138" t="s">
        <v>46</v>
      </c>
      <c r="W138" t="s">
        <v>68</v>
      </c>
      <c r="X138" t="s">
        <v>37</v>
      </c>
      <c r="Y138" t="s">
        <v>62</v>
      </c>
      <c r="Z138">
        <v>3.6</v>
      </c>
      <c r="AA138">
        <f t="shared" si="6"/>
        <v>11</v>
      </c>
      <c r="AB138" t="str">
        <f t="shared" si="7"/>
        <v>Yes</v>
      </c>
      <c r="AC138" t="str">
        <f t="shared" si="8"/>
        <v>Needs Improvement</v>
      </c>
    </row>
    <row r="139" spans="1:29" x14ac:dyDescent="0.3">
      <c r="A139" t="s">
        <v>258</v>
      </c>
      <c r="B139" s="1">
        <v>46028</v>
      </c>
      <c r="C139" s="1">
        <v>46030</v>
      </c>
      <c r="D139" s="1">
        <v>46033</v>
      </c>
      <c r="E139" t="s">
        <v>40</v>
      </c>
      <c r="F139" t="s">
        <v>41</v>
      </c>
      <c r="G139" t="s">
        <v>42</v>
      </c>
      <c r="H139">
        <v>1718</v>
      </c>
      <c r="I139" t="s">
        <v>60</v>
      </c>
      <c r="J139">
        <v>1</v>
      </c>
      <c r="K139">
        <v>13744</v>
      </c>
      <c r="L139">
        <v>9</v>
      </c>
      <c r="M139" t="s">
        <v>145</v>
      </c>
      <c r="N139">
        <v>10</v>
      </c>
      <c r="O139">
        <v>4.4000000000000004</v>
      </c>
      <c r="P139" t="s">
        <v>66</v>
      </c>
      <c r="Q139" t="s">
        <v>38</v>
      </c>
      <c r="R139" t="s">
        <v>67</v>
      </c>
      <c r="S139">
        <v>3</v>
      </c>
      <c r="T139">
        <v>3</v>
      </c>
      <c r="U139">
        <v>0</v>
      </c>
      <c r="V139" t="s">
        <v>35</v>
      </c>
      <c r="W139" t="s">
        <v>68</v>
      </c>
      <c r="X139" t="s">
        <v>76</v>
      </c>
      <c r="Y139" t="s">
        <v>38</v>
      </c>
      <c r="Z139">
        <v>4</v>
      </c>
      <c r="AA139">
        <f t="shared" si="6"/>
        <v>8</v>
      </c>
      <c r="AB139" t="str">
        <f t="shared" si="7"/>
        <v>No</v>
      </c>
      <c r="AC139" t="str">
        <f t="shared" si="8"/>
        <v>Efficient</v>
      </c>
    </row>
    <row r="140" spans="1:29" x14ac:dyDescent="0.3">
      <c r="A140" t="s">
        <v>259</v>
      </c>
      <c r="B140" s="1">
        <v>46106</v>
      </c>
      <c r="C140" s="1">
        <v>46108</v>
      </c>
      <c r="D140" s="1">
        <v>46113</v>
      </c>
      <c r="E140" t="s">
        <v>49</v>
      </c>
      <c r="F140" t="s">
        <v>50</v>
      </c>
      <c r="G140" t="s">
        <v>51</v>
      </c>
      <c r="H140">
        <v>727</v>
      </c>
      <c r="I140" t="s">
        <v>43</v>
      </c>
      <c r="J140">
        <v>8</v>
      </c>
      <c r="K140">
        <v>6543</v>
      </c>
      <c r="L140">
        <v>6</v>
      </c>
      <c r="M140" t="s">
        <v>78</v>
      </c>
      <c r="N140">
        <v>13</v>
      </c>
      <c r="O140">
        <v>3.7</v>
      </c>
      <c r="P140" t="s">
        <v>45</v>
      </c>
      <c r="Q140" t="s">
        <v>33</v>
      </c>
      <c r="R140" t="s">
        <v>54</v>
      </c>
      <c r="S140">
        <v>1</v>
      </c>
      <c r="T140">
        <v>5</v>
      </c>
      <c r="U140">
        <v>4</v>
      </c>
      <c r="V140" t="s">
        <v>46</v>
      </c>
      <c r="W140" t="s">
        <v>55</v>
      </c>
      <c r="X140" t="s">
        <v>63</v>
      </c>
      <c r="Y140" t="s">
        <v>33</v>
      </c>
      <c r="Z140">
        <v>3.1</v>
      </c>
      <c r="AA140">
        <f t="shared" si="6"/>
        <v>9</v>
      </c>
      <c r="AB140" t="str">
        <f t="shared" si="7"/>
        <v>Yes</v>
      </c>
      <c r="AC140" t="str">
        <f t="shared" si="8"/>
        <v>Needs Improvement</v>
      </c>
    </row>
    <row r="141" spans="1:29" x14ac:dyDescent="0.3">
      <c r="A141" t="s">
        <v>260</v>
      </c>
      <c r="B141" s="1">
        <v>46131</v>
      </c>
      <c r="C141" s="1">
        <v>46131</v>
      </c>
      <c r="D141" s="1">
        <v>46135</v>
      </c>
      <c r="E141" t="s">
        <v>27</v>
      </c>
      <c r="F141" t="s">
        <v>28</v>
      </c>
      <c r="G141" t="s">
        <v>29</v>
      </c>
      <c r="H141">
        <v>1765</v>
      </c>
      <c r="I141" t="s">
        <v>87</v>
      </c>
      <c r="J141">
        <v>7</v>
      </c>
      <c r="K141">
        <v>12355</v>
      </c>
      <c r="L141">
        <v>10</v>
      </c>
      <c r="M141" t="s">
        <v>239</v>
      </c>
      <c r="N141">
        <v>2</v>
      </c>
      <c r="O141">
        <v>4.4000000000000004</v>
      </c>
      <c r="P141" t="s">
        <v>32</v>
      </c>
      <c r="Q141" t="s">
        <v>38</v>
      </c>
      <c r="R141" t="s">
        <v>54</v>
      </c>
      <c r="S141">
        <v>3</v>
      </c>
      <c r="T141">
        <v>4</v>
      </c>
      <c r="U141">
        <v>1</v>
      </c>
      <c r="V141" t="s">
        <v>46</v>
      </c>
      <c r="W141" t="s">
        <v>68</v>
      </c>
      <c r="X141" t="s">
        <v>63</v>
      </c>
      <c r="Y141" t="s">
        <v>33</v>
      </c>
      <c r="Z141">
        <v>4.3</v>
      </c>
      <c r="AA141">
        <f t="shared" si="6"/>
        <v>7</v>
      </c>
      <c r="AB141" t="str">
        <f t="shared" si="7"/>
        <v>Yes</v>
      </c>
      <c r="AC141" t="str">
        <f t="shared" si="8"/>
        <v>Needs Improvement</v>
      </c>
    </row>
    <row r="142" spans="1:29" x14ac:dyDescent="0.3">
      <c r="A142" t="s">
        <v>261</v>
      </c>
      <c r="B142" s="1">
        <v>46142</v>
      </c>
      <c r="C142" s="1">
        <v>46144</v>
      </c>
      <c r="D142" s="1">
        <v>46150</v>
      </c>
      <c r="E142" t="s">
        <v>92</v>
      </c>
      <c r="F142" t="s">
        <v>93</v>
      </c>
      <c r="G142" t="s">
        <v>94</v>
      </c>
      <c r="H142">
        <v>1550</v>
      </c>
      <c r="I142" t="s">
        <v>43</v>
      </c>
      <c r="J142">
        <v>1</v>
      </c>
      <c r="K142">
        <v>9300</v>
      </c>
      <c r="L142">
        <v>9</v>
      </c>
      <c r="M142" t="s">
        <v>88</v>
      </c>
      <c r="N142">
        <v>7</v>
      </c>
      <c r="O142">
        <v>3</v>
      </c>
      <c r="P142" t="s">
        <v>66</v>
      </c>
      <c r="Q142" t="s">
        <v>33</v>
      </c>
      <c r="R142" t="s">
        <v>34</v>
      </c>
      <c r="S142">
        <v>3</v>
      </c>
      <c r="T142">
        <v>6</v>
      </c>
      <c r="U142">
        <v>3</v>
      </c>
      <c r="V142" t="s">
        <v>46</v>
      </c>
      <c r="W142" t="s">
        <v>36</v>
      </c>
      <c r="X142" t="s">
        <v>63</v>
      </c>
      <c r="Y142" t="s">
        <v>38</v>
      </c>
      <c r="Z142">
        <v>4</v>
      </c>
      <c r="AA142">
        <f t="shared" si="6"/>
        <v>6</v>
      </c>
      <c r="AB142" t="str">
        <f t="shared" si="7"/>
        <v>Yes</v>
      </c>
      <c r="AC142" t="str">
        <f t="shared" si="8"/>
        <v>Needs Improvement</v>
      </c>
    </row>
    <row r="143" spans="1:29" x14ac:dyDescent="0.3">
      <c r="A143" t="s">
        <v>262</v>
      </c>
      <c r="B143" s="1">
        <v>46053</v>
      </c>
      <c r="C143" s="1">
        <v>46053</v>
      </c>
      <c r="D143" s="1">
        <v>46057</v>
      </c>
      <c r="E143" t="s">
        <v>57</v>
      </c>
      <c r="F143" t="s">
        <v>58</v>
      </c>
      <c r="G143" t="s">
        <v>59</v>
      </c>
      <c r="H143">
        <v>925</v>
      </c>
      <c r="I143" t="s">
        <v>30</v>
      </c>
      <c r="J143">
        <v>7</v>
      </c>
      <c r="K143">
        <v>5550</v>
      </c>
      <c r="L143">
        <v>7</v>
      </c>
      <c r="M143" t="s">
        <v>205</v>
      </c>
      <c r="N143">
        <v>8</v>
      </c>
      <c r="O143">
        <v>4.0999999999999996</v>
      </c>
      <c r="P143" t="s">
        <v>45</v>
      </c>
      <c r="Q143" t="s">
        <v>62</v>
      </c>
      <c r="R143" t="s">
        <v>54</v>
      </c>
      <c r="S143">
        <v>2</v>
      </c>
      <c r="T143">
        <v>4</v>
      </c>
      <c r="U143">
        <v>2</v>
      </c>
      <c r="V143" t="s">
        <v>46</v>
      </c>
      <c r="W143" t="s">
        <v>55</v>
      </c>
      <c r="X143" t="s">
        <v>63</v>
      </c>
      <c r="Y143" t="s">
        <v>38</v>
      </c>
      <c r="Z143">
        <v>3.8</v>
      </c>
      <c r="AA143">
        <f t="shared" si="6"/>
        <v>6</v>
      </c>
      <c r="AB143" t="str">
        <f t="shared" si="7"/>
        <v>Yes</v>
      </c>
      <c r="AC143" t="str">
        <f t="shared" si="8"/>
        <v>Needs Improvement</v>
      </c>
    </row>
    <row r="144" spans="1:29" x14ac:dyDescent="0.3">
      <c r="A144" t="s">
        <v>263</v>
      </c>
      <c r="B144" s="1">
        <v>46071</v>
      </c>
      <c r="C144" s="1">
        <v>46073</v>
      </c>
      <c r="D144" s="1">
        <v>46074</v>
      </c>
      <c r="E144" t="s">
        <v>92</v>
      </c>
      <c r="F144" t="s">
        <v>93</v>
      </c>
      <c r="G144" t="s">
        <v>94</v>
      </c>
      <c r="H144">
        <v>314</v>
      </c>
      <c r="I144" t="s">
        <v>87</v>
      </c>
      <c r="J144">
        <v>3</v>
      </c>
      <c r="K144">
        <v>1884</v>
      </c>
      <c r="L144">
        <v>8</v>
      </c>
      <c r="M144" t="s">
        <v>120</v>
      </c>
      <c r="N144">
        <v>11</v>
      </c>
      <c r="O144">
        <v>4.5999999999999996</v>
      </c>
      <c r="P144" t="s">
        <v>32</v>
      </c>
      <c r="Q144" t="s">
        <v>33</v>
      </c>
      <c r="R144" t="s">
        <v>67</v>
      </c>
      <c r="S144">
        <v>1</v>
      </c>
      <c r="T144">
        <v>1</v>
      </c>
      <c r="U144">
        <v>0</v>
      </c>
      <c r="V144" t="s">
        <v>35</v>
      </c>
      <c r="W144" t="s">
        <v>55</v>
      </c>
      <c r="X144" t="s">
        <v>76</v>
      </c>
      <c r="Y144" t="s">
        <v>62</v>
      </c>
      <c r="Z144">
        <v>3.5</v>
      </c>
      <c r="AA144">
        <f t="shared" si="6"/>
        <v>6</v>
      </c>
      <c r="AB144" t="str">
        <f t="shared" si="7"/>
        <v>No</v>
      </c>
      <c r="AC144" t="str">
        <f t="shared" si="8"/>
        <v>Efficient</v>
      </c>
    </row>
    <row r="145" spans="1:29" x14ac:dyDescent="0.3">
      <c r="A145" t="s">
        <v>264</v>
      </c>
      <c r="B145" s="1">
        <v>46141</v>
      </c>
      <c r="C145" s="1">
        <v>46141</v>
      </c>
      <c r="D145" s="1">
        <v>46143</v>
      </c>
      <c r="E145" t="s">
        <v>57</v>
      </c>
      <c r="F145" t="s">
        <v>58</v>
      </c>
      <c r="G145" t="s">
        <v>59</v>
      </c>
      <c r="H145">
        <v>1312</v>
      </c>
      <c r="I145" t="s">
        <v>87</v>
      </c>
      <c r="J145">
        <v>3</v>
      </c>
      <c r="K145">
        <v>15744</v>
      </c>
      <c r="L145">
        <v>7</v>
      </c>
      <c r="M145" t="s">
        <v>135</v>
      </c>
      <c r="N145">
        <v>4</v>
      </c>
      <c r="O145">
        <v>4.2</v>
      </c>
      <c r="P145" t="s">
        <v>53</v>
      </c>
      <c r="Q145" t="s">
        <v>38</v>
      </c>
      <c r="R145" t="s">
        <v>34</v>
      </c>
      <c r="S145">
        <v>2</v>
      </c>
      <c r="T145">
        <v>2</v>
      </c>
      <c r="U145">
        <v>0</v>
      </c>
      <c r="V145" t="s">
        <v>35</v>
      </c>
      <c r="W145" t="s">
        <v>55</v>
      </c>
      <c r="X145" t="s">
        <v>95</v>
      </c>
      <c r="Y145" t="s">
        <v>33</v>
      </c>
      <c r="Z145">
        <v>4.8</v>
      </c>
      <c r="AA145">
        <f t="shared" si="6"/>
        <v>12</v>
      </c>
      <c r="AB145" t="str">
        <f t="shared" si="7"/>
        <v>No</v>
      </c>
      <c r="AC145" t="str">
        <f t="shared" si="8"/>
        <v>Efficient</v>
      </c>
    </row>
    <row r="146" spans="1:29" x14ac:dyDescent="0.3">
      <c r="A146" t="s">
        <v>265</v>
      </c>
      <c r="B146" s="1">
        <v>46065</v>
      </c>
      <c r="C146" s="1">
        <v>46066</v>
      </c>
      <c r="D146" s="1">
        <v>46072</v>
      </c>
      <c r="E146" t="s">
        <v>82</v>
      </c>
      <c r="F146" t="s">
        <v>83</v>
      </c>
      <c r="G146" t="s">
        <v>84</v>
      </c>
      <c r="H146">
        <v>1611</v>
      </c>
      <c r="I146" t="s">
        <v>87</v>
      </c>
      <c r="J146">
        <v>9</v>
      </c>
      <c r="K146">
        <v>17721</v>
      </c>
      <c r="L146">
        <v>7</v>
      </c>
      <c r="M146" t="s">
        <v>208</v>
      </c>
      <c r="N146">
        <v>2</v>
      </c>
      <c r="O146">
        <v>3.9</v>
      </c>
      <c r="P146" t="s">
        <v>32</v>
      </c>
      <c r="Q146" t="s">
        <v>62</v>
      </c>
      <c r="R146" t="s">
        <v>54</v>
      </c>
      <c r="S146">
        <v>3</v>
      </c>
      <c r="T146">
        <v>6</v>
      </c>
      <c r="U146">
        <v>3</v>
      </c>
      <c r="V146" t="s">
        <v>46</v>
      </c>
      <c r="W146" t="s">
        <v>68</v>
      </c>
      <c r="X146" t="s">
        <v>63</v>
      </c>
      <c r="Y146" t="s">
        <v>33</v>
      </c>
      <c r="Z146">
        <v>3.5</v>
      </c>
      <c r="AA146">
        <f t="shared" si="6"/>
        <v>11</v>
      </c>
      <c r="AB146" t="str">
        <f t="shared" si="7"/>
        <v>Yes</v>
      </c>
      <c r="AC146" t="str">
        <f t="shared" si="8"/>
        <v>Needs Improvement</v>
      </c>
    </row>
    <row r="147" spans="1:29" x14ac:dyDescent="0.3">
      <c r="A147" t="s">
        <v>266</v>
      </c>
      <c r="B147" s="1">
        <v>46080</v>
      </c>
      <c r="C147" s="1">
        <v>46081</v>
      </c>
      <c r="D147" s="1">
        <v>46083</v>
      </c>
      <c r="E147" t="s">
        <v>40</v>
      </c>
      <c r="F147" t="s">
        <v>41</v>
      </c>
      <c r="G147" t="s">
        <v>42</v>
      </c>
      <c r="H147">
        <v>928</v>
      </c>
      <c r="I147" t="s">
        <v>43</v>
      </c>
      <c r="J147">
        <v>7</v>
      </c>
      <c r="K147">
        <v>6496</v>
      </c>
      <c r="L147">
        <v>10</v>
      </c>
      <c r="M147" t="s">
        <v>145</v>
      </c>
      <c r="N147">
        <v>11</v>
      </c>
      <c r="O147">
        <v>3.8</v>
      </c>
      <c r="P147" t="s">
        <v>66</v>
      </c>
      <c r="Q147" t="s">
        <v>38</v>
      </c>
      <c r="R147" t="s">
        <v>54</v>
      </c>
      <c r="S147">
        <v>2</v>
      </c>
      <c r="T147">
        <v>2</v>
      </c>
      <c r="U147">
        <v>0</v>
      </c>
      <c r="V147" t="s">
        <v>35</v>
      </c>
      <c r="W147" t="s">
        <v>68</v>
      </c>
      <c r="X147" t="s">
        <v>37</v>
      </c>
      <c r="Y147" t="s">
        <v>62</v>
      </c>
      <c r="Z147">
        <v>4.4000000000000004</v>
      </c>
      <c r="AA147">
        <f t="shared" si="6"/>
        <v>7</v>
      </c>
      <c r="AB147" t="str">
        <f t="shared" si="7"/>
        <v>No</v>
      </c>
      <c r="AC147" t="str">
        <f t="shared" si="8"/>
        <v>Efficient</v>
      </c>
    </row>
    <row r="148" spans="1:29" x14ac:dyDescent="0.3">
      <c r="A148" t="s">
        <v>267</v>
      </c>
      <c r="B148" s="1">
        <v>46104</v>
      </c>
      <c r="C148" s="1">
        <v>46104</v>
      </c>
      <c r="D148" s="1">
        <v>46105</v>
      </c>
      <c r="E148" t="s">
        <v>111</v>
      </c>
      <c r="F148" t="s">
        <v>27</v>
      </c>
      <c r="G148" t="s">
        <v>112</v>
      </c>
      <c r="H148">
        <v>848</v>
      </c>
      <c r="I148" t="s">
        <v>30</v>
      </c>
      <c r="J148">
        <v>2</v>
      </c>
      <c r="K148">
        <v>5088</v>
      </c>
      <c r="L148">
        <v>5</v>
      </c>
      <c r="M148" t="s">
        <v>131</v>
      </c>
      <c r="N148">
        <v>8</v>
      </c>
      <c r="O148">
        <v>3.7</v>
      </c>
      <c r="P148" t="s">
        <v>66</v>
      </c>
      <c r="Q148" t="s">
        <v>38</v>
      </c>
      <c r="R148" t="s">
        <v>67</v>
      </c>
      <c r="S148">
        <v>1</v>
      </c>
      <c r="T148">
        <v>1</v>
      </c>
      <c r="U148">
        <v>0</v>
      </c>
      <c r="V148" t="s">
        <v>35</v>
      </c>
      <c r="W148" t="s">
        <v>68</v>
      </c>
      <c r="X148" t="s">
        <v>95</v>
      </c>
      <c r="Y148" t="s">
        <v>33</v>
      </c>
      <c r="Z148">
        <v>4.0999999999999996</v>
      </c>
      <c r="AA148">
        <f t="shared" si="6"/>
        <v>6</v>
      </c>
      <c r="AB148" t="str">
        <f t="shared" si="7"/>
        <v>No</v>
      </c>
      <c r="AC148" t="str">
        <f t="shared" si="8"/>
        <v>Efficient</v>
      </c>
    </row>
    <row r="149" spans="1:29" x14ac:dyDescent="0.3">
      <c r="A149" t="s">
        <v>268</v>
      </c>
      <c r="B149" s="1">
        <v>46075</v>
      </c>
      <c r="C149" s="1">
        <v>46075</v>
      </c>
      <c r="D149" s="1">
        <v>46079</v>
      </c>
      <c r="E149" t="s">
        <v>27</v>
      </c>
      <c r="F149" t="s">
        <v>28</v>
      </c>
      <c r="G149" t="s">
        <v>29</v>
      </c>
      <c r="H149">
        <v>383</v>
      </c>
      <c r="I149" t="s">
        <v>30</v>
      </c>
      <c r="J149">
        <v>9</v>
      </c>
      <c r="K149">
        <v>2298</v>
      </c>
      <c r="L149">
        <v>9</v>
      </c>
      <c r="M149" t="s">
        <v>269</v>
      </c>
      <c r="N149">
        <v>13</v>
      </c>
      <c r="O149">
        <v>3.6</v>
      </c>
      <c r="P149" t="s">
        <v>53</v>
      </c>
      <c r="Q149" t="s">
        <v>38</v>
      </c>
      <c r="R149" t="s">
        <v>34</v>
      </c>
      <c r="S149">
        <v>1</v>
      </c>
      <c r="T149">
        <v>4</v>
      </c>
      <c r="U149">
        <v>3</v>
      </c>
      <c r="V149" t="s">
        <v>46</v>
      </c>
      <c r="W149" t="s">
        <v>36</v>
      </c>
      <c r="X149" t="s">
        <v>76</v>
      </c>
      <c r="Y149" t="s">
        <v>38</v>
      </c>
      <c r="Z149">
        <v>4.0999999999999996</v>
      </c>
      <c r="AA149">
        <f t="shared" si="6"/>
        <v>6</v>
      </c>
      <c r="AB149" t="str">
        <f t="shared" si="7"/>
        <v>Yes</v>
      </c>
      <c r="AC149" t="str">
        <f t="shared" si="8"/>
        <v>Needs Improvement</v>
      </c>
    </row>
    <row r="150" spans="1:29" x14ac:dyDescent="0.3">
      <c r="A150" t="s">
        <v>270</v>
      </c>
      <c r="B150" s="1">
        <v>46044</v>
      </c>
      <c r="C150" s="1">
        <v>46046</v>
      </c>
      <c r="D150" s="1">
        <v>46048</v>
      </c>
      <c r="E150" t="s">
        <v>111</v>
      </c>
      <c r="F150" t="s">
        <v>27</v>
      </c>
      <c r="G150" t="s">
        <v>112</v>
      </c>
      <c r="H150">
        <v>547</v>
      </c>
      <c r="I150" t="s">
        <v>60</v>
      </c>
      <c r="J150">
        <v>5</v>
      </c>
      <c r="K150">
        <v>4376</v>
      </c>
      <c r="L150">
        <v>7</v>
      </c>
      <c r="M150" t="s">
        <v>153</v>
      </c>
      <c r="N150">
        <v>3</v>
      </c>
      <c r="O150">
        <v>3.1</v>
      </c>
      <c r="P150" t="s">
        <v>53</v>
      </c>
      <c r="Q150" t="s">
        <v>62</v>
      </c>
      <c r="R150" t="s">
        <v>34</v>
      </c>
      <c r="S150">
        <v>1</v>
      </c>
      <c r="T150">
        <v>2</v>
      </c>
      <c r="U150">
        <v>1</v>
      </c>
      <c r="V150" t="s">
        <v>46</v>
      </c>
      <c r="W150" t="s">
        <v>36</v>
      </c>
      <c r="X150" t="s">
        <v>47</v>
      </c>
      <c r="Y150" t="s">
        <v>62</v>
      </c>
      <c r="Z150">
        <v>4.9000000000000004</v>
      </c>
      <c r="AA150">
        <f t="shared" si="6"/>
        <v>8</v>
      </c>
      <c r="AB150" t="str">
        <f t="shared" si="7"/>
        <v>Yes</v>
      </c>
      <c r="AC150" t="str">
        <f t="shared" si="8"/>
        <v>Needs Improvement</v>
      </c>
    </row>
    <row r="151" spans="1:29" x14ac:dyDescent="0.3">
      <c r="A151" t="s">
        <v>271</v>
      </c>
      <c r="B151" s="1">
        <v>46115</v>
      </c>
      <c r="C151" s="1">
        <v>46117</v>
      </c>
      <c r="D151" s="1">
        <v>46122</v>
      </c>
      <c r="E151" t="s">
        <v>92</v>
      </c>
      <c r="F151" t="s">
        <v>93</v>
      </c>
      <c r="G151" t="s">
        <v>94</v>
      </c>
      <c r="H151">
        <v>1416</v>
      </c>
      <c r="I151" t="s">
        <v>60</v>
      </c>
      <c r="J151">
        <v>8</v>
      </c>
      <c r="K151">
        <v>8496</v>
      </c>
      <c r="L151">
        <v>6</v>
      </c>
      <c r="M151" t="s">
        <v>131</v>
      </c>
      <c r="N151">
        <v>1</v>
      </c>
      <c r="O151">
        <v>4.9000000000000004</v>
      </c>
      <c r="P151" t="s">
        <v>66</v>
      </c>
      <c r="Q151" t="s">
        <v>33</v>
      </c>
      <c r="R151" t="s">
        <v>34</v>
      </c>
      <c r="S151">
        <v>3</v>
      </c>
      <c r="T151">
        <v>5</v>
      </c>
      <c r="U151">
        <v>2</v>
      </c>
      <c r="V151" t="s">
        <v>46</v>
      </c>
      <c r="W151" t="s">
        <v>68</v>
      </c>
      <c r="X151" t="s">
        <v>76</v>
      </c>
      <c r="Y151" t="s">
        <v>38</v>
      </c>
      <c r="Z151">
        <v>3.6</v>
      </c>
      <c r="AA151">
        <f t="shared" si="6"/>
        <v>6</v>
      </c>
      <c r="AB151" t="str">
        <f t="shared" si="7"/>
        <v>Yes</v>
      </c>
      <c r="AC151" t="str">
        <f t="shared" si="8"/>
        <v>Needs Improvement</v>
      </c>
    </row>
    <row r="152" spans="1:29" x14ac:dyDescent="0.3">
      <c r="A152" t="s">
        <v>272</v>
      </c>
      <c r="B152" s="1">
        <v>46100</v>
      </c>
      <c r="C152" s="1">
        <v>46102</v>
      </c>
      <c r="D152" s="1">
        <v>46106</v>
      </c>
      <c r="E152" t="s">
        <v>40</v>
      </c>
      <c r="F152" t="s">
        <v>41</v>
      </c>
      <c r="G152" t="s">
        <v>42</v>
      </c>
      <c r="H152">
        <v>1181</v>
      </c>
      <c r="I152" t="s">
        <v>30</v>
      </c>
      <c r="J152">
        <v>3</v>
      </c>
      <c r="K152">
        <v>10629</v>
      </c>
      <c r="L152">
        <v>7</v>
      </c>
      <c r="M152" t="s">
        <v>99</v>
      </c>
      <c r="N152">
        <v>12</v>
      </c>
      <c r="O152">
        <v>4.4000000000000004</v>
      </c>
      <c r="P152" t="s">
        <v>53</v>
      </c>
      <c r="Q152" t="s">
        <v>33</v>
      </c>
      <c r="R152" t="s">
        <v>67</v>
      </c>
      <c r="S152">
        <v>2</v>
      </c>
      <c r="T152">
        <v>4</v>
      </c>
      <c r="U152">
        <v>2</v>
      </c>
      <c r="V152" t="s">
        <v>46</v>
      </c>
      <c r="W152" t="s">
        <v>68</v>
      </c>
      <c r="X152" t="s">
        <v>47</v>
      </c>
      <c r="Y152" t="s">
        <v>38</v>
      </c>
      <c r="Z152">
        <v>4.9000000000000004</v>
      </c>
      <c r="AA152">
        <f t="shared" si="6"/>
        <v>9</v>
      </c>
      <c r="AB152" t="str">
        <f t="shared" si="7"/>
        <v>Yes</v>
      </c>
      <c r="AC152" t="str">
        <f t="shared" si="8"/>
        <v>Needs Improvement</v>
      </c>
    </row>
    <row r="153" spans="1:29" x14ac:dyDescent="0.3">
      <c r="A153" t="s">
        <v>273</v>
      </c>
      <c r="B153" s="1">
        <v>46048</v>
      </c>
      <c r="C153" s="1">
        <v>46050</v>
      </c>
      <c r="D153" s="1">
        <v>46056</v>
      </c>
      <c r="E153" t="s">
        <v>82</v>
      </c>
      <c r="F153" t="s">
        <v>83</v>
      </c>
      <c r="G153" t="s">
        <v>84</v>
      </c>
      <c r="H153">
        <v>1596</v>
      </c>
      <c r="I153" t="s">
        <v>87</v>
      </c>
      <c r="J153">
        <v>8</v>
      </c>
      <c r="K153">
        <v>17556</v>
      </c>
      <c r="L153">
        <v>6</v>
      </c>
      <c r="M153" t="s">
        <v>128</v>
      </c>
      <c r="N153">
        <v>13</v>
      </c>
      <c r="O153">
        <v>3.6</v>
      </c>
      <c r="P153" t="s">
        <v>32</v>
      </c>
      <c r="Q153" t="s">
        <v>62</v>
      </c>
      <c r="R153" t="s">
        <v>54</v>
      </c>
      <c r="S153">
        <v>3</v>
      </c>
      <c r="T153">
        <v>6</v>
      </c>
      <c r="U153">
        <v>3</v>
      </c>
      <c r="V153" t="s">
        <v>46</v>
      </c>
      <c r="W153" t="s">
        <v>36</v>
      </c>
      <c r="X153" t="s">
        <v>47</v>
      </c>
      <c r="Y153" t="s">
        <v>38</v>
      </c>
      <c r="Z153">
        <v>3.5</v>
      </c>
      <c r="AA153">
        <f t="shared" si="6"/>
        <v>11</v>
      </c>
      <c r="AB153" t="str">
        <f t="shared" si="7"/>
        <v>Yes</v>
      </c>
      <c r="AC153" t="str">
        <f t="shared" si="8"/>
        <v>Needs Improvement</v>
      </c>
    </row>
    <row r="154" spans="1:29" x14ac:dyDescent="0.3">
      <c r="A154" t="s">
        <v>274</v>
      </c>
      <c r="B154" s="1">
        <v>46042</v>
      </c>
      <c r="C154" s="1">
        <v>46044</v>
      </c>
      <c r="D154" s="1">
        <v>46052</v>
      </c>
      <c r="E154" t="s">
        <v>111</v>
      </c>
      <c r="F154" t="s">
        <v>27</v>
      </c>
      <c r="G154" t="s">
        <v>112</v>
      </c>
      <c r="H154">
        <v>972</v>
      </c>
      <c r="I154" t="s">
        <v>87</v>
      </c>
      <c r="J154">
        <v>8</v>
      </c>
      <c r="K154">
        <v>9720</v>
      </c>
      <c r="L154">
        <v>8</v>
      </c>
      <c r="M154" t="s">
        <v>145</v>
      </c>
      <c r="N154">
        <v>7</v>
      </c>
      <c r="O154">
        <v>4.0999999999999996</v>
      </c>
      <c r="P154" t="s">
        <v>53</v>
      </c>
      <c r="Q154" t="s">
        <v>33</v>
      </c>
      <c r="R154" t="s">
        <v>67</v>
      </c>
      <c r="S154">
        <v>2</v>
      </c>
      <c r="T154">
        <v>8</v>
      </c>
      <c r="U154">
        <v>6</v>
      </c>
      <c r="V154" t="s">
        <v>46</v>
      </c>
      <c r="W154" t="s">
        <v>55</v>
      </c>
      <c r="X154" t="s">
        <v>76</v>
      </c>
      <c r="Y154" t="s">
        <v>33</v>
      </c>
      <c r="Z154">
        <v>4.8</v>
      </c>
      <c r="AA154">
        <f t="shared" si="6"/>
        <v>10</v>
      </c>
      <c r="AB154" t="str">
        <f t="shared" si="7"/>
        <v>Yes</v>
      </c>
      <c r="AC154" t="str">
        <f t="shared" si="8"/>
        <v>Needs Improvement</v>
      </c>
    </row>
    <row r="155" spans="1:29" x14ac:dyDescent="0.3">
      <c r="A155" t="s">
        <v>275</v>
      </c>
      <c r="B155" s="1">
        <v>46036</v>
      </c>
      <c r="C155" s="1">
        <v>46036</v>
      </c>
      <c r="D155" s="1">
        <v>46037</v>
      </c>
      <c r="E155" t="s">
        <v>49</v>
      </c>
      <c r="F155" t="s">
        <v>50</v>
      </c>
      <c r="G155" t="s">
        <v>51</v>
      </c>
      <c r="H155">
        <v>540</v>
      </c>
      <c r="I155" t="s">
        <v>87</v>
      </c>
      <c r="J155">
        <v>10</v>
      </c>
      <c r="K155">
        <v>5940</v>
      </c>
      <c r="L155">
        <v>10</v>
      </c>
      <c r="M155" t="s">
        <v>97</v>
      </c>
      <c r="N155">
        <v>7</v>
      </c>
      <c r="O155">
        <v>4.9000000000000004</v>
      </c>
      <c r="P155" t="s">
        <v>66</v>
      </c>
      <c r="Q155" t="s">
        <v>62</v>
      </c>
      <c r="R155" t="s">
        <v>67</v>
      </c>
      <c r="S155">
        <v>1</v>
      </c>
      <c r="T155">
        <v>1</v>
      </c>
      <c r="U155">
        <v>0</v>
      </c>
      <c r="V155" t="s">
        <v>35</v>
      </c>
      <c r="W155" t="s">
        <v>68</v>
      </c>
      <c r="X155" t="s">
        <v>37</v>
      </c>
      <c r="Y155" t="s">
        <v>33</v>
      </c>
      <c r="Z155">
        <v>4.5</v>
      </c>
      <c r="AA155">
        <f t="shared" si="6"/>
        <v>11</v>
      </c>
      <c r="AB155" t="str">
        <f t="shared" si="7"/>
        <v>No</v>
      </c>
      <c r="AC155" t="str">
        <f t="shared" si="8"/>
        <v>Efficient</v>
      </c>
    </row>
    <row r="156" spans="1:29" x14ac:dyDescent="0.3">
      <c r="A156" t="s">
        <v>276</v>
      </c>
      <c r="B156" s="1">
        <v>46094</v>
      </c>
      <c r="C156" s="1">
        <v>46096</v>
      </c>
      <c r="D156" s="1">
        <v>46099</v>
      </c>
      <c r="E156" t="s">
        <v>40</v>
      </c>
      <c r="F156" t="s">
        <v>41</v>
      </c>
      <c r="G156" t="s">
        <v>42</v>
      </c>
      <c r="H156">
        <v>1112</v>
      </c>
      <c r="I156" t="s">
        <v>30</v>
      </c>
      <c r="J156">
        <v>7</v>
      </c>
      <c r="K156">
        <v>10008</v>
      </c>
      <c r="L156">
        <v>10</v>
      </c>
      <c r="M156" t="s">
        <v>145</v>
      </c>
      <c r="N156">
        <v>12</v>
      </c>
      <c r="O156">
        <v>4</v>
      </c>
      <c r="P156" t="s">
        <v>66</v>
      </c>
      <c r="Q156" t="s">
        <v>38</v>
      </c>
      <c r="R156" t="s">
        <v>34</v>
      </c>
      <c r="S156">
        <v>2</v>
      </c>
      <c r="T156">
        <v>3</v>
      </c>
      <c r="U156">
        <v>1</v>
      </c>
      <c r="V156" t="s">
        <v>46</v>
      </c>
      <c r="W156" t="s">
        <v>68</v>
      </c>
      <c r="X156" t="s">
        <v>63</v>
      </c>
      <c r="Y156" t="s">
        <v>38</v>
      </c>
      <c r="Z156">
        <v>4.7</v>
      </c>
      <c r="AA156">
        <f t="shared" si="6"/>
        <v>9</v>
      </c>
      <c r="AB156" t="str">
        <f t="shared" si="7"/>
        <v>Yes</v>
      </c>
      <c r="AC156" t="str">
        <f t="shared" si="8"/>
        <v>Needs Improvement</v>
      </c>
    </row>
    <row r="157" spans="1:29" x14ac:dyDescent="0.3">
      <c r="A157" t="s">
        <v>277</v>
      </c>
      <c r="B157" s="1">
        <v>46116</v>
      </c>
      <c r="C157" s="1">
        <v>46116</v>
      </c>
      <c r="D157" s="1">
        <v>46120</v>
      </c>
      <c r="E157" t="s">
        <v>49</v>
      </c>
      <c r="F157" t="s">
        <v>50</v>
      </c>
      <c r="G157" t="s">
        <v>51</v>
      </c>
      <c r="H157">
        <v>838</v>
      </c>
      <c r="I157" t="s">
        <v>30</v>
      </c>
      <c r="J157">
        <v>8</v>
      </c>
      <c r="K157">
        <v>10056</v>
      </c>
      <c r="L157">
        <v>6</v>
      </c>
      <c r="M157" t="s">
        <v>85</v>
      </c>
      <c r="N157">
        <v>8</v>
      </c>
      <c r="O157">
        <v>3.7</v>
      </c>
      <c r="P157" t="s">
        <v>32</v>
      </c>
      <c r="Q157" t="s">
        <v>62</v>
      </c>
      <c r="R157" t="s">
        <v>54</v>
      </c>
      <c r="S157">
        <v>1</v>
      </c>
      <c r="T157">
        <v>4</v>
      </c>
      <c r="U157">
        <v>3</v>
      </c>
      <c r="V157" t="s">
        <v>46</v>
      </c>
      <c r="W157" t="s">
        <v>68</v>
      </c>
      <c r="X157" t="s">
        <v>63</v>
      </c>
      <c r="Y157" t="s">
        <v>62</v>
      </c>
      <c r="Z157">
        <v>3.1</v>
      </c>
      <c r="AA157">
        <f t="shared" si="6"/>
        <v>12</v>
      </c>
      <c r="AB157" t="str">
        <f t="shared" si="7"/>
        <v>Yes</v>
      </c>
      <c r="AC157" t="str">
        <f t="shared" si="8"/>
        <v>Needs Improvement</v>
      </c>
    </row>
    <row r="158" spans="1:29" x14ac:dyDescent="0.3">
      <c r="A158" t="s">
        <v>278</v>
      </c>
      <c r="B158" s="1">
        <v>46113</v>
      </c>
      <c r="C158" s="1">
        <v>46113</v>
      </c>
      <c r="D158" s="1">
        <v>46118</v>
      </c>
      <c r="E158" t="s">
        <v>27</v>
      </c>
      <c r="F158" t="s">
        <v>28</v>
      </c>
      <c r="G158" t="s">
        <v>29</v>
      </c>
      <c r="H158">
        <v>902</v>
      </c>
      <c r="I158" t="s">
        <v>87</v>
      </c>
      <c r="J158">
        <v>3</v>
      </c>
      <c r="K158">
        <v>9922</v>
      </c>
      <c r="L158">
        <v>6</v>
      </c>
      <c r="M158" t="s">
        <v>85</v>
      </c>
      <c r="N158">
        <v>3</v>
      </c>
      <c r="O158">
        <v>4.0999999999999996</v>
      </c>
      <c r="P158" t="s">
        <v>66</v>
      </c>
      <c r="Q158" t="s">
        <v>33</v>
      </c>
      <c r="R158" t="s">
        <v>34</v>
      </c>
      <c r="S158">
        <v>2</v>
      </c>
      <c r="T158">
        <v>5</v>
      </c>
      <c r="U158">
        <v>3</v>
      </c>
      <c r="V158" t="s">
        <v>46</v>
      </c>
      <c r="W158" t="s">
        <v>55</v>
      </c>
      <c r="X158" t="s">
        <v>37</v>
      </c>
      <c r="Y158" t="s">
        <v>38</v>
      </c>
      <c r="Z158">
        <v>4.3</v>
      </c>
      <c r="AA158">
        <f t="shared" si="6"/>
        <v>11</v>
      </c>
      <c r="AB158" t="str">
        <f t="shared" si="7"/>
        <v>Yes</v>
      </c>
      <c r="AC158" t="str">
        <f t="shared" si="8"/>
        <v>Needs Improvement</v>
      </c>
    </row>
    <row r="159" spans="1:29" x14ac:dyDescent="0.3">
      <c r="A159" t="s">
        <v>279</v>
      </c>
      <c r="B159" s="1">
        <v>46078</v>
      </c>
      <c r="C159" s="1">
        <v>46079</v>
      </c>
      <c r="D159" s="1">
        <v>46082</v>
      </c>
      <c r="E159" t="s">
        <v>27</v>
      </c>
      <c r="F159" t="s">
        <v>28</v>
      </c>
      <c r="G159" t="s">
        <v>29</v>
      </c>
      <c r="H159">
        <v>1710</v>
      </c>
      <c r="I159" t="s">
        <v>60</v>
      </c>
      <c r="J159">
        <v>8</v>
      </c>
      <c r="K159">
        <v>17100</v>
      </c>
      <c r="L159">
        <v>8</v>
      </c>
      <c r="M159" t="s">
        <v>75</v>
      </c>
      <c r="N159">
        <v>1</v>
      </c>
      <c r="O159">
        <v>4.4000000000000004</v>
      </c>
      <c r="P159" t="s">
        <v>45</v>
      </c>
      <c r="Q159" t="s">
        <v>62</v>
      </c>
      <c r="R159" t="s">
        <v>54</v>
      </c>
      <c r="S159">
        <v>3</v>
      </c>
      <c r="T159">
        <v>3</v>
      </c>
      <c r="U159">
        <v>0</v>
      </c>
      <c r="V159" t="s">
        <v>35</v>
      </c>
      <c r="W159" t="s">
        <v>55</v>
      </c>
      <c r="X159" t="s">
        <v>37</v>
      </c>
      <c r="Y159" t="s">
        <v>62</v>
      </c>
      <c r="Z159">
        <v>3.7</v>
      </c>
      <c r="AA159">
        <f t="shared" si="6"/>
        <v>10</v>
      </c>
      <c r="AB159" t="str">
        <f t="shared" si="7"/>
        <v>No</v>
      </c>
      <c r="AC159" t="str">
        <f t="shared" si="8"/>
        <v>Efficient</v>
      </c>
    </row>
    <row r="160" spans="1:29" x14ac:dyDescent="0.3">
      <c r="A160" t="s">
        <v>280</v>
      </c>
      <c r="B160" s="1">
        <v>46081</v>
      </c>
      <c r="C160" s="1">
        <v>46081</v>
      </c>
      <c r="D160" s="1">
        <v>46085</v>
      </c>
      <c r="E160" t="s">
        <v>57</v>
      </c>
      <c r="F160" t="s">
        <v>58</v>
      </c>
      <c r="G160" t="s">
        <v>59</v>
      </c>
      <c r="H160">
        <v>1573</v>
      </c>
      <c r="I160" t="s">
        <v>43</v>
      </c>
      <c r="J160">
        <v>9</v>
      </c>
      <c r="K160">
        <v>17303</v>
      </c>
      <c r="L160">
        <v>7</v>
      </c>
      <c r="M160" t="s">
        <v>269</v>
      </c>
      <c r="N160">
        <v>7</v>
      </c>
      <c r="O160">
        <v>4.2</v>
      </c>
      <c r="P160" t="s">
        <v>32</v>
      </c>
      <c r="Q160" t="s">
        <v>62</v>
      </c>
      <c r="R160" t="s">
        <v>34</v>
      </c>
      <c r="S160">
        <v>3</v>
      </c>
      <c r="T160">
        <v>4</v>
      </c>
      <c r="U160">
        <v>1</v>
      </c>
      <c r="V160" t="s">
        <v>46</v>
      </c>
      <c r="W160" t="s">
        <v>55</v>
      </c>
      <c r="X160" t="s">
        <v>37</v>
      </c>
      <c r="Y160" t="s">
        <v>33</v>
      </c>
      <c r="Z160">
        <v>4.4000000000000004</v>
      </c>
      <c r="AA160">
        <f t="shared" si="6"/>
        <v>11</v>
      </c>
      <c r="AB160" t="str">
        <f t="shared" si="7"/>
        <v>Yes</v>
      </c>
      <c r="AC160" t="str">
        <f t="shared" si="8"/>
        <v>Needs Improvement</v>
      </c>
    </row>
    <row r="161" spans="1:29" x14ac:dyDescent="0.3">
      <c r="A161" t="s">
        <v>281</v>
      </c>
      <c r="B161" s="1">
        <v>46061</v>
      </c>
      <c r="C161" s="1">
        <v>46063</v>
      </c>
      <c r="D161" s="1">
        <v>46067</v>
      </c>
      <c r="E161" t="s">
        <v>72</v>
      </c>
      <c r="F161" t="s">
        <v>73</v>
      </c>
      <c r="G161" t="s">
        <v>74</v>
      </c>
      <c r="H161">
        <v>1576</v>
      </c>
      <c r="I161" t="s">
        <v>60</v>
      </c>
      <c r="J161">
        <v>6</v>
      </c>
      <c r="K161">
        <v>9456</v>
      </c>
      <c r="L161">
        <v>6</v>
      </c>
      <c r="M161" t="s">
        <v>131</v>
      </c>
      <c r="N161">
        <v>2</v>
      </c>
      <c r="O161">
        <v>3.4</v>
      </c>
      <c r="P161" t="s">
        <v>45</v>
      </c>
      <c r="Q161" t="s">
        <v>33</v>
      </c>
      <c r="R161" t="s">
        <v>34</v>
      </c>
      <c r="S161">
        <v>3</v>
      </c>
      <c r="T161">
        <v>4</v>
      </c>
      <c r="U161">
        <v>1</v>
      </c>
      <c r="V161" t="s">
        <v>46</v>
      </c>
      <c r="W161" t="s">
        <v>55</v>
      </c>
      <c r="X161" t="s">
        <v>95</v>
      </c>
      <c r="Y161" t="s">
        <v>62</v>
      </c>
      <c r="Z161">
        <v>3.4</v>
      </c>
      <c r="AA161">
        <f t="shared" si="6"/>
        <v>6</v>
      </c>
      <c r="AB161" t="str">
        <f t="shared" si="7"/>
        <v>Yes</v>
      </c>
      <c r="AC161" t="str">
        <f t="shared" si="8"/>
        <v>Needs Improvement</v>
      </c>
    </row>
    <row r="162" spans="1:29" x14ac:dyDescent="0.3">
      <c r="A162" t="s">
        <v>282</v>
      </c>
      <c r="B162" s="1">
        <v>46104</v>
      </c>
      <c r="C162" s="1">
        <v>46106</v>
      </c>
      <c r="D162" s="1">
        <v>46109</v>
      </c>
      <c r="E162" t="s">
        <v>82</v>
      </c>
      <c r="F162" t="s">
        <v>83</v>
      </c>
      <c r="G162" t="s">
        <v>84</v>
      </c>
      <c r="H162">
        <v>1336</v>
      </c>
      <c r="I162" t="s">
        <v>60</v>
      </c>
      <c r="J162">
        <v>8</v>
      </c>
      <c r="K162">
        <v>10688</v>
      </c>
      <c r="L162">
        <v>6</v>
      </c>
      <c r="M162" t="s">
        <v>283</v>
      </c>
      <c r="N162">
        <v>6</v>
      </c>
      <c r="O162">
        <v>4.7</v>
      </c>
      <c r="P162" t="s">
        <v>32</v>
      </c>
      <c r="Q162" t="s">
        <v>62</v>
      </c>
      <c r="R162" t="s">
        <v>67</v>
      </c>
      <c r="S162">
        <v>2</v>
      </c>
      <c r="T162">
        <v>3</v>
      </c>
      <c r="U162">
        <v>1</v>
      </c>
      <c r="V162" t="s">
        <v>46</v>
      </c>
      <c r="W162" t="s">
        <v>36</v>
      </c>
      <c r="X162" t="s">
        <v>37</v>
      </c>
      <c r="Y162" t="s">
        <v>62</v>
      </c>
      <c r="Z162">
        <v>4.9000000000000004</v>
      </c>
      <c r="AA162">
        <f t="shared" si="6"/>
        <v>8</v>
      </c>
      <c r="AB162" t="str">
        <f t="shared" si="7"/>
        <v>Yes</v>
      </c>
      <c r="AC162" t="str">
        <f t="shared" si="8"/>
        <v>Needs Improvement</v>
      </c>
    </row>
    <row r="163" spans="1:29" x14ac:dyDescent="0.3">
      <c r="A163" t="s">
        <v>284</v>
      </c>
      <c r="B163" s="1">
        <v>46087</v>
      </c>
      <c r="C163" s="1">
        <v>46089</v>
      </c>
      <c r="D163" s="1">
        <v>46091</v>
      </c>
      <c r="E163" t="s">
        <v>92</v>
      </c>
      <c r="F163" t="s">
        <v>93</v>
      </c>
      <c r="G163" t="s">
        <v>94</v>
      </c>
      <c r="H163">
        <v>1037</v>
      </c>
      <c r="I163" t="s">
        <v>43</v>
      </c>
      <c r="J163">
        <v>7</v>
      </c>
      <c r="K163">
        <v>11407</v>
      </c>
      <c r="L163">
        <v>8</v>
      </c>
      <c r="M163" t="s">
        <v>153</v>
      </c>
      <c r="N163">
        <v>3</v>
      </c>
      <c r="O163">
        <v>3.2</v>
      </c>
      <c r="P163" t="s">
        <v>32</v>
      </c>
      <c r="Q163" t="s">
        <v>38</v>
      </c>
      <c r="R163" t="s">
        <v>34</v>
      </c>
      <c r="S163">
        <v>2</v>
      </c>
      <c r="T163">
        <v>2</v>
      </c>
      <c r="U163">
        <v>0</v>
      </c>
      <c r="V163" t="s">
        <v>35</v>
      </c>
      <c r="W163" t="s">
        <v>68</v>
      </c>
      <c r="X163" t="s">
        <v>37</v>
      </c>
      <c r="Y163" t="s">
        <v>33</v>
      </c>
      <c r="Z163">
        <v>3.6</v>
      </c>
      <c r="AA163">
        <f t="shared" si="6"/>
        <v>11</v>
      </c>
      <c r="AB163" t="str">
        <f t="shared" si="7"/>
        <v>No</v>
      </c>
      <c r="AC163" t="str">
        <f t="shared" si="8"/>
        <v>Efficient</v>
      </c>
    </row>
    <row r="164" spans="1:29" x14ac:dyDescent="0.3">
      <c r="A164" t="s">
        <v>285</v>
      </c>
      <c r="B164" s="1">
        <v>46122</v>
      </c>
      <c r="C164" s="1">
        <v>46123</v>
      </c>
      <c r="D164" s="1">
        <v>46126</v>
      </c>
      <c r="E164" t="s">
        <v>92</v>
      </c>
      <c r="F164" t="s">
        <v>93</v>
      </c>
      <c r="G164" t="s">
        <v>94</v>
      </c>
      <c r="H164">
        <v>1325</v>
      </c>
      <c r="I164" t="s">
        <v>87</v>
      </c>
      <c r="J164">
        <v>10</v>
      </c>
      <c r="K164">
        <v>7950</v>
      </c>
      <c r="L164">
        <v>7</v>
      </c>
      <c r="M164" t="s">
        <v>170</v>
      </c>
      <c r="N164">
        <v>9</v>
      </c>
      <c r="O164">
        <v>4.5999999999999996</v>
      </c>
      <c r="P164" t="s">
        <v>66</v>
      </c>
      <c r="Q164" t="s">
        <v>33</v>
      </c>
      <c r="R164" t="s">
        <v>67</v>
      </c>
      <c r="S164">
        <v>2</v>
      </c>
      <c r="T164">
        <v>3</v>
      </c>
      <c r="U164">
        <v>1</v>
      </c>
      <c r="V164" t="s">
        <v>46</v>
      </c>
      <c r="W164" t="s">
        <v>68</v>
      </c>
      <c r="X164" t="s">
        <v>63</v>
      </c>
      <c r="Y164" t="s">
        <v>33</v>
      </c>
      <c r="Z164">
        <v>4.7</v>
      </c>
      <c r="AA164">
        <f t="shared" si="6"/>
        <v>6</v>
      </c>
      <c r="AB164" t="str">
        <f t="shared" si="7"/>
        <v>Yes</v>
      </c>
      <c r="AC164" t="str">
        <f t="shared" si="8"/>
        <v>Needs Improvement</v>
      </c>
    </row>
    <row r="165" spans="1:29" x14ac:dyDescent="0.3">
      <c r="A165" t="s">
        <v>286</v>
      </c>
      <c r="B165" s="1">
        <v>46119</v>
      </c>
      <c r="C165" s="1">
        <v>46119</v>
      </c>
      <c r="D165" s="1">
        <v>46122</v>
      </c>
      <c r="E165" t="s">
        <v>57</v>
      </c>
      <c r="F165" t="s">
        <v>58</v>
      </c>
      <c r="G165" t="s">
        <v>59</v>
      </c>
      <c r="H165">
        <v>266</v>
      </c>
      <c r="I165" t="s">
        <v>43</v>
      </c>
      <c r="J165">
        <v>5</v>
      </c>
      <c r="K165">
        <v>2128</v>
      </c>
      <c r="L165">
        <v>5</v>
      </c>
      <c r="M165" t="s">
        <v>128</v>
      </c>
      <c r="N165">
        <v>14</v>
      </c>
      <c r="O165">
        <v>5</v>
      </c>
      <c r="P165" t="s">
        <v>45</v>
      </c>
      <c r="Q165" t="s">
        <v>38</v>
      </c>
      <c r="R165" t="s">
        <v>54</v>
      </c>
      <c r="S165">
        <v>1</v>
      </c>
      <c r="T165">
        <v>3</v>
      </c>
      <c r="U165">
        <v>2</v>
      </c>
      <c r="V165" t="s">
        <v>46</v>
      </c>
      <c r="W165" t="s">
        <v>55</v>
      </c>
      <c r="X165" t="s">
        <v>76</v>
      </c>
      <c r="Y165" t="s">
        <v>33</v>
      </c>
      <c r="Z165">
        <v>3.9</v>
      </c>
      <c r="AA165">
        <f t="shared" si="6"/>
        <v>8</v>
      </c>
      <c r="AB165" t="str">
        <f t="shared" si="7"/>
        <v>Yes</v>
      </c>
      <c r="AC165" t="str">
        <f t="shared" si="8"/>
        <v>Needs Improvement</v>
      </c>
    </row>
    <row r="166" spans="1:29" x14ac:dyDescent="0.3">
      <c r="A166" t="s">
        <v>287</v>
      </c>
      <c r="B166" s="1">
        <v>46101</v>
      </c>
      <c r="C166" s="1">
        <v>46101</v>
      </c>
      <c r="D166" s="1">
        <v>46104</v>
      </c>
      <c r="E166" t="s">
        <v>40</v>
      </c>
      <c r="F166" t="s">
        <v>41</v>
      </c>
      <c r="G166" t="s">
        <v>42</v>
      </c>
      <c r="H166">
        <v>623</v>
      </c>
      <c r="I166" t="s">
        <v>87</v>
      </c>
      <c r="J166">
        <v>10</v>
      </c>
      <c r="K166">
        <v>4984</v>
      </c>
      <c r="L166">
        <v>9</v>
      </c>
      <c r="M166" t="s">
        <v>44</v>
      </c>
      <c r="N166">
        <v>10</v>
      </c>
      <c r="O166">
        <v>4.0999999999999996</v>
      </c>
      <c r="P166" t="s">
        <v>66</v>
      </c>
      <c r="Q166" t="s">
        <v>33</v>
      </c>
      <c r="R166" t="s">
        <v>34</v>
      </c>
      <c r="S166">
        <v>1</v>
      </c>
      <c r="T166">
        <v>3</v>
      </c>
      <c r="U166">
        <v>2</v>
      </c>
      <c r="V166" t="s">
        <v>46</v>
      </c>
      <c r="W166" t="s">
        <v>55</v>
      </c>
      <c r="X166" t="s">
        <v>63</v>
      </c>
      <c r="Y166" t="s">
        <v>38</v>
      </c>
      <c r="Z166">
        <v>4.9000000000000004</v>
      </c>
      <c r="AA166">
        <f t="shared" si="6"/>
        <v>8</v>
      </c>
      <c r="AB166" t="str">
        <f t="shared" si="7"/>
        <v>Yes</v>
      </c>
      <c r="AC166" t="str">
        <f t="shared" si="8"/>
        <v>Needs Improvement</v>
      </c>
    </row>
    <row r="167" spans="1:29" x14ac:dyDescent="0.3">
      <c r="A167" t="s">
        <v>288</v>
      </c>
      <c r="B167" s="1">
        <v>46123</v>
      </c>
      <c r="C167" s="1">
        <v>46124</v>
      </c>
      <c r="D167" s="1">
        <v>46127</v>
      </c>
      <c r="E167" t="s">
        <v>27</v>
      </c>
      <c r="F167" t="s">
        <v>28</v>
      </c>
      <c r="G167" t="s">
        <v>29</v>
      </c>
      <c r="H167">
        <v>767</v>
      </c>
      <c r="I167" t="s">
        <v>60</v>
      </c>
      <c r="J167">
        <v>3</v>
      </c>
      <c r="K167">
        <v>5369</v>
      </c>
      <c r="L167">
        <v>6</v>
      </c>
      <c r="M167" t="s">
        <v>245</v>
      </c>
      <c r="N167">
        <v>6</v>
      </c>
      <c r="O167">
        <v>4.7</v>
      </c>
      <c r="P167" t="s">
        <v>53</v>
      </c>
      <c r="Q167" t="s">
        <v>62</v>
      </c>
      <c r="R167" t="s">
        <v>67</v>
      </c>
      <c r="S167">
        <v>1</v>
      </c>
      <c r="T167">
        <v>3</v>
      </c>
      <c r="U167">
        <v>2</v>
      </c>
      <c r="V167" t="s">
        <v>46</v>
      </c>
      <c r="W167" t="s">
        <v>55</v>
      </c>
      <c r="X167" t="s">
        <v>95</v>
      </c>
      <c r="Y167" t="s">
        <v>62</v>
      </c>
      <c r="Z167">
        <v>3.9</v>
      </c>
      <c r="AA167">
        <f t="shared" si="6"/>
        <v>7</v>
      </c>
      <c r="AB167" t="str">
        <f t="shared" si="7"/>
        <v>Yes</v>
      </c>
      <c r="AC167" t="str">
        <f t="shared" si="8"/>
        <v>Needs Improvement</v>
      </c>
    </row>
    <row r="168" spans="1:29" x14ac:dyDescent="0.3">
      <c r="A168" t="s">
        <v>289</v>
      </c>
      <c r="B168" s="1">
        <v>46104</v>
      </c>
      <c r="C168" s="1">
        <v>46104</v>
      </c>
      <c r="D168" s="1">
        <v>46106</v>
      </c>
      <c r="E168" t="s">
        <v>111</v>
      </c>
      <c r="F168" t="s">
        <v>27</v>
      </c>
      <c r="G168" t="s">
        <v>112</v>
      </c>
      <c r="H168">
        <v>1255</v>
      </c>
      <c r="I168" t="s">
        <v>30</v>
      </c>
      <c r="J168">
        <v>6</v>
      </c>
      <c r="K168">
        <v>11295</v>
      </c>
      <c r="L168">
        <v>8</v>
      </c>
      <c r="M168" t="s">
        <v>226</v>
      </c>
      <c r="N168">
        <v>10</v>
      </c>
      <c r="O168">
        <v>3</v>
      </c>
      <c r="P168" t="s">
        <v>32</v>
      </c>
      <c r="Q168" t="s">
        <v>33</v>
      </c>
      <c r="R168" t="s">
        <v>34</v>
      </c>
      <c r="S168">
        <v>2</v>
      </c>
      <c r="T168">
        <v>2</v>
      </c>
      <c r="U168">
        <v>0</v>
      </c>
      <c r="V168" t="s">
        <v>35</v>
      </c>
      <c r="W168" t="s">
        <v>55</v>
      </c>
      <c r="X168" t="s">
        <v>95</v>
      </c>
      <c r="Y168" t="s">
        <v>38</v>
      </c>
      <c r="Z168">
        <v>4.9000000000000004</v>
      </c>
      <c r="AA168">
        <f t="shared" si="6"/>
        <v>9</v>
      </c>
      <c r="AB168" t="str">
        <f t="shared" si="7"/>
        <v>No</v>
      </c>
      <c r="AC168" t="str">
        <f t="shared" si="8"/>
        <v>Efficient</v>
      </c>
    </row>
    <row r="169" spans="1:29" x14ac:dyDescent="0.3">
      <c r="A169" t="s">
        <v>290</v>
      </c>
      <c r="B169" s="1">
        <v>46128</v>
      </c>
      <c r="C169" s="1">
        <v>46128</v>
      </c>
      <c r="D169" s="1">
        <v>46129</v>
      </c>
      <c r="E169" t="s">
        <v>92</v>
      </c>
      <c r="F169" t="s">
        <v>93</v>
      </c>
      <c r="G169" t="s">
        <v>94</v>
      </c>
      <c r="H169">
        <v>749</v>
      </c>
      <c r="I169" t="s">
        <v>30</v>
      </c>
      <c r="J169">
        <v>5</v>
      </c>
      <c r="K169">
        <v>5992</v>
      </c>
      <c r="L169">
        <v>9</v>
      </c>
      <c r="M169" t="s">
        <v>105</v>
      </c>
      <c r="N169">
        <v>3</v>
      </c>
      <c r="O169">
        <v>4.0999999999999996</v>
      </c>
      <c r="P169" t="s">
        <v>53</v>
      </c>
      <c r="Q169" t="s">
        <v>62</v>
      </c>
      <c r="R169" t="s">
        <v>54</v>
      </c>
      <c r="S169">
        <v>1</v>
      </c>
      <c r="T169">
        <v>1</v>
      </c>
      <c r="U169">
        <v>0</v>
      </c>
      <c r="V169" t="s">
        <v>35</v>
      </c>
      <c r="W169" t="s">
        <v>36</v>
      </c>
      <c r="X169" t="s">
        <v>95</v>
      </c>
      <c r="Y169" t="s">
        <v>38</v>
      </c>
      <c r="Z169">
        <v>3.2</v>
      </c>
      <c r="AA169">
        <f t="shared" si="6"/>
        <v>8</v>
      </c>
      <c r="AB169" t="str">
        <f t="shared" si="7"/>
        <v>No</v>
      </c>
      <c r="AC169" t="str">
        <f t="shared" si="8"/>
        <v>Efficient</v>
      </c>
    </row>
    <row r="170" spans="1:29" x14ac:dyDescent="0.3">
      <c r="A170" t="s">
        <v>291</v>
      </c>
      <c r="B170" s="1">
        <v>46132</v>
      </c>
      <c r="C170" s="1">
        <v>46132</v>
      </c>
      <c r="D170" s="1">
        <v>46136</v>
      </c>
      <c r="E170" t="s">
        <v>92</v>
      </c>
      <c r="F170" t="s">
        <v>93</v>
      </c>
      <c r="G170" t="s">
        <v>94</v>
      </c>
      <c r="H170">
        <v>1134</v>
      </c>
      <c r="I170" t="s">
        <v>87</v>
      </c>
      <c r="J170">
        <v>7</v>
      </c>
      <c r="K170">
        <v>7938</v>
      </c>
      <c r="L170">
        <v>10</v>
      </c>
      <c r="M170" t="s">
        <v>147</v>
      </c>
      <c r="N170">
        <v>15</v>
      </c>
      <c r="O170">
        <v>4.3</v>
      </c>
      <c r="P170" t="s">
        <v>45</v>
      </c>
      <c r="Q170" t="s">
        <v>62</v>
      </c>
      <c r="R170" t="s">
        <v>67</v>
      </c>
      <c r="S170">
        <v>2</v>
      </c>
      <c r="T170">
        <v>4</v>
      </c>
      <c r="U170">
        <v>2</v>
      </c>
      <c r="V170" t="s">
        <v>46</v>
      </c>
      <c r="W170" t="s">
        <v>68</v>
      </c>
      <c r="X170" t="s">
        <v>63</v>
      </c>
      <c r="Y170" t="s">
        <v>62</v>
      </c>
      <c r="Z170">
        <v>4.3</v>
      </c>
      <c r="AA170">
        <f t="shared" si="6"/>
        <v>7</v>
      </c>
      <c r="AB170" t="str">
        <f t="shared" si="7"/>
        <v>Yes</v>
      </c>
      <c r="AC170" t="str">
        <f t="shared" si="8"/>
        <v>Needs Improvement</v>
      </c>
    </row>
    <row r="171" spans="1:29" x14ac:dyDescent="0.3">
      <c r="A171" t="s">
        <v>292</v>
      </c>
      <c r="B171" s="1">
        <v>46106</v>
      </c>
      <c r="C171" s="1">
        <v>46106</v>
      </c>
      <c r="D171" s="1">
        <v>46108</v>
      </c>
      <c r="E171" t="s">
        <v>27</v>
      </c>
      <c r="F171" t="s">
        <v>28</v>
      </c>
      <c r="G171" t="s">
        <v>29</v>
      </c>
      <c r="H171">
        <v>1011</v>
      </c>
      <c r="I171" t="s">
        <v>30</v>
      </c>
      <c r="J171">
        <v>4</v>
      </c>
      <c r="K171">
        <v>9099</v>
      </c>
      <c r="L171">
        <v>10</v>
      </c>
      <c r="M171" t="s">
        <v>109</v>
      </c>
      <c r="N171">
        <v>12</v>
      </c>
      <c r="O171">
        <v>3.2</v>
      </c>
      <c r="P171" t="s">
        <v>45</v>
      </c>
      <c r="Q171" t="s">
        <v>62</v>
      </c>
      <c r="R171" t="s">
        <v>67</v>
      </c>
      <c r="S171">
        <v>2</v>
      </c>
      <c r="T171">
        <v>2</v>
      </c>
      <c r="U171">
        <v>0</v>
      </c>
      <c r="V171" t="s">
        <v>35</v>
      </c>
      <c r="W171" t="s">
        <v>55</v>
      </c>
      <c r="X171" t="s">
        <v>95</v>
      </c>
      <c r="Y171" t="s">
        <v>38</v>
      </c>
      <c r="Z171">
        <v>3</v>
      </c>
      <c r="AA171">
        <f t="shared" si="6"/>
        <v>9</v>
      </c>
      <c r="AB171" t="str">
        <f t="shared" si="7"/>
        <v>No</v>
      </c>
      <c r="AC171" t="str">
        <f t="shared" si="8"/>
        <v>Efficient</v>
      </c>
    </row>
    <row r="172" spans="1:29" x14ac:dyDescent="0.3">
      <c r="A172" t="s">
        <v>293</v>
      </c>
      <c r="B172" s="1">
        <v>46066</v>
      </c>
      <c r="C172" s="1">
        <v>46066</v>
      </c>
      <c r="D172" s="1">
        <v>46070</v>
      </c>
      <c r="E172" t="s">
        <v>111</v>
      </c>
      <c r="F172" t="s">
        <v>27</v>
      </c>
      <c r="G172" t="s">
        <v>112</v>
      </c>
      <c r="H172">
        <v>1621</v>
      </c>
      <c r="I172" t="s">
        <v>60</v>
      </c>
      <c r="J172">
        <v>8</v>
      </c>
      <c r="K172">
        <v>9726</v>
      </c>
      <c r="L172">
        <v>6</v>
      </c>
      <c r="M172" t="s">
        <v>75</v>
      </c>
      <c r="N172">
        <v>2</v>
      </c>
      <c r="O172">
        <v>4.5</v>
      </c>
      <c r="P172" t="s">
        <v>32</v>
      </c>
      <c r="Q172" t="s">
        <v>38</v>
      </c>
      <c r="R172" t="s">
        <v>34</v>
      </c>
      <c r="S172">
        <v>3</v>
      </c>
      <c r="T172">
        <v>4</v>
      </c>
      <c r="U172">
        <v>1</v>
      </c>
      <c r="V172" t="s">
        <v>46</v>
      </c>
      <c r="W172" t="s">
        <v>68</v>
      </c>
      <c r="X172" t="s">
        <v>37</v>
      </c>
      <c r="Y172" t="s">
        <v>62</v>
      </c>
      <c r="Z172">
        <v>4.5</v>
      </c>
      <c r="AA172">
        <f t="shared" si="6"/>
        <v>6</v>
      </c>
      <c r="AB172" t="str">
        <f t="shared" si="7"/>
        <v>Yes</v>
      </c>
      <c r="AC172" t="str">
        <f t="shared" si="8"/>
        <v>Needs Improvement</v>
      </c>
    </row>
    <row r="173" spans="1:29" x14ac:dyDescent="0.3">
      <c r="A173" t="s">
        <v>294</v>
      </c>
      <c r="B173" s="1">
        <v>46119</v>
      </c>
      <c r="C173" s="1">
        <v>46119</v>
      </c>
      <c r="D173" s="1">
        <v>46123</v>
      </c>
      <c r="E173" t="s">
        <v>82</v>
      </c>
      <c r="F173" t="s">
        <v>83</v>
      </c>
      <c r="G173" t="s">
        <v>84</v>
      </c>
      <c r="H173">
        <v>340</v>
      </c>
      <c r="I173" t="s">
        <v>87</v>
      </c>
      <c r="J173">
        <v>10</v>
      </c>
      <c r="K173">
        <v>3740</v>
      </c>
      <c r="L173">
        <v>6</v>
      </c>
      <c r="M173" t="s">
        <v>128</v>
      </c>
      <c r="N173">
        <v>6</v>
      </c>
      <c r="O173">
        <v>4.4000000000000004</v>
      </c>
      <c r="P173" t="s">
        <v>45</v>
      </c>
      <c r="Q173" t="s">
        <v>62</v>
      </c>
      <c r="R173" t="s">
        <v>54</v>
      </c>
      <c r="S173">
        <v>1</v>
      </c>
      <c r="T173">
        <v>4</v>
      </c>
      <c r="U173">
        <v>3</v>
      </c>
      <c r="V173" t="s">
        <v>46</v>
      </c>
      <c r="W173" t="s">
        <v>36</v>
      </c>
      <c r="X173" t="s">
        <v>63</v>
      </c>
      <c r="Y173" t="s">
        <v>38</v>
      </c>
      <c r="Z173">
        <v>3.3</v>
      </c>
      <c r="AA173">
        <f t="shared" si="6"/>
        <v>11</v>
      </c>
      <c r="AB173" t="str">
        <f t="shared" si="7"/>
        <v>Yes</v>
      </c>
      <c r="AC173" t="str">
        <f t="shared" si="8"/>
        <v>Needs Improvement</v>
      </c>
    </row>
    <row r="174" spans="1:29" x14ac:dyDescent="0.3">
      <c r="A174" t="s">
        <v>295</v>
      </c>
      <c r="B174" s="1">
        <v>46038</v>
      </c>
      <c r="C174" s="1">
        <v>46040</v>
      </c>
      <c r="D174" s="1">
        <v>46042</v>
      </c>
      <c r="E174" t="s">
        <v>111</v>
      </c>
      <c r="F174" t="s">
        <v>27</v>
      </c>
      <c r="G174" t="s">
        <v>112</v>
      </c>
      <c r="H174">
        <v>919</v>
      </c>
      <c r="I174" t="s">
        <v>43</v>
      </c>
      <c r="J174">
        <v>6</v>
      </c>
      <c r="K174">
        <v>11028</v>
      </c>
      <c r="L174">
        <v>6</v>
      </c>
      <c r="M174" t="s">
        <v>125</v>
      </c>
      <c r="N174">
        <v>5</v>
      </c>
      <c r="O174">
        <v>4.3</v>
      </c>
      <c r="P174" t="s">
        <v>45</v>
      </c>
      <c r="Q174" t="s">
        <v>33</v>
      </c>
      <c r="R174" t="s">
        <v>54</v>
      </c>
      <c r="S174">
        <v>2</v>
      </c>
      <c r="T174">
        <v>2</v>
      </c>
      <c r="U174">
        <v>0</v>
      </c>
      <c r="V174" t="s">
        <v>35</v>
      </c>
      <c r="W174" t="s">
        <v>55</v>
      </c>
      <c r="X174" t="s">
        <v>47</v>
      </c>
      <c r="Y174" t="s">
        <v>38</v>
      </c>
      <c r="Z174">
        <v>4</v>
      </c>
      <c r="AA174">
        <f t="shared" si="6"/>
        <v>12</v>
      </c>
      <c r="AB174" t="str">
        <f t="shared" si="7"/>
        <v>No</v>
      </c>
      <c r="AC174" t="str">
        <f t="shared" si="8"/>
        <v>Efficient</v>
      </c>
    </row>
    <row r="175" spans="1:29" x14ac:dyDescent="0.3">
      <c r="A175" t="s">
        <v>296</v>
      </c>
      <c r="B175" s="1">
        <v>46088</v>
      </c>
      <c r="C175" s="1">
        <v>46088</v>
      </c>
      <c r="D175" s="1">
        <v>46091</v>
      </c>
      <c r="E175" t="s">
        <v>111</v>
      </c>
      <c r="F175" t="s">
        <v>27</v>
      </c>
      <c r="G175" t="s">
        <v>112</v>
      </c>
      <c r="H175">
        <v>805</v>
      </c>
      <c r="I175" t="s">
        <v>87</v>
      </c>
      <c r="J175">
        <v>4</v>
      </c>
      <c r="K175">
        <v>7245</v>
      </c>
      <c r="L175">
        <v>8</v>
      </c>
      <c r="M175" t="s">
        <v>118</v>
      </c>
      <c r="N175">
        <v>4</v>
      </c>
      <c r="O175">
        <v>4</v>
      </c>
      <c r="P175" t="s">
        <v>32</v>
      </c>
      <c r="Q175" t="s">
        <v>33</v>
      </c>
      <c r="R175" t="s">
        <v>67</v>
      </c>
      <c r="S175">
        <v>1</v>
      </c>
      <c r="T175">
        <v>3</v>
      </c>
      <c r="U175">
        <v>2</v>
      </c>
      <c r="V175" t="s">
        <v>46</v>
      </c>
      <c r="W175" t="s">
        <v>36</v>
      </c>
      <c r="X175" t="s">
        <v>95</v>
      </c>
      <c r="Y175" t="s">
        <v>33</v>
      </c>
      <c r="Z175">
        <v>3.8</v>
      </c>
      <c r="AA175">
        <f t="shared" si="6"/>
        <v>9</v>
      </c>
      <c r="AB175" t="str">
        <f t="shared" si="7"/>
        <v>Yes</v>
      </c>
      <c r="AC175" t="str">
        <f t="shared" si="8"/>
        <v>Needs Improvement</v>
      </c>
    </row>
    <row r="176" spans="1:29" x14ac:dyDescent="0.3">
      <c r="A176" t="s">
        <v>297</v>
      </c>
      <c r="B176" s="1">
        <v>46092</v>
      </c>
      <c r="C176" s="1">
        <v>46094</v>
      </c>
      <c r="D176" s="1">
        <v>46098</v>
      </c>
      <c r="E176" t="s">
        <v>82</v>
      </c>
      <c r="F176" t="s">
        <v>83</v>
      </c>
      <c r="G176" t="s">
        <v>84</v>
      </c>
      <c r="H176">
        <v>1762</v>
      </c>
      <c r="I176" t="s">
        <v>43</v>
      </c>
      <c r="J176">
        <v>2</v>
      </c>
      <c r="K176">
        <v>10572</v>
      </c>
      <c r="L176">
        <v>9</v>
      </c>
      <c r="M176" t="s">
        <v>165</v>
      </c>
      <c r="N176">
        <v>1</v>
      </c>
      <c r="O176">
        <v>3.5</v>
      </c>
      <c r="P176" t="s">
        <v>32</v>
      </c>
      <c r="Q176" t="s">
        <v>38</v>
      </c>
      <c r="R176" t="s">
        <v>34</v>
      </c>
      <c r="S176">
        <v>3</v>
      </c>
      <c r="T176">
        <v>4</v>
      </c>
      <c r="U176">
        <v>1</v>
      </c>
      <c r="V176" t="s">
        <v>46</v>
      </c>
      <c r="W176" t="s">
        <v>55</v>
      </c>
      <c r="X176" t="s">
        <v>76</v>
      </c>
      <c r="Y176" t="s">
        <v>62</v>
      </c>
      <c r="Z176">
        <v>3.8</v>
      </c>
      <c r="AA176">
        <f t="shared" si="6"/>
        <v>6</v>
      </c>
      <c r="AB176" t="str">
        <f t="shared" si="7"/>
        <v>Yes</v>
      </c>
      <c r="AC176" t="str">
        <f t="shared" si="8"/>
        <v>Needs Improvement</v>
      </c>
    </row>
    <row r="177" spans="1:29" x14ac:dyDescent="0.3">
      <c r="A177" t="s">
        <v>298</v>
      </c>
      <c r="B177" s="1">
        <v>46074</v>
      </c>
      <c r="C177" s="1">
        <v>46074</v>
      </c>
      <c r="D177" s="1">
        <v>46075</v>
      </c>
      <c r="E177" t="s">
        <v>82</v>
      </c>
      <c r="F177" t="s">
        <v>83</v>
      </c>
      <c r="G177" t="s">
        <v>84</v>
      </c>
      <c r="H177">
        <v>768</v>
      </c>
      <c r="I177" t="s">
        <v>87</v>
      </c>
      <c r="J177">
        <v>5</v>
      </c>
      <c r="K177">
        <v>4608</v>
      </c>
      <c r="L177">
        <v>9</v>
      </c>
      <c r="M177" t="s">
        <v>90</v>
      </c>
      <c r="N177">
        <v>13</v>
      </c>
      <c r="O177">
        <v>3.3</v>
      </c>
      <c r="P177" t="s">
        <v>66</v>
      </c>
      <c r="Q177" t="s">
        <v>62</v>
      </c>
      <c r="R177" t="s">
        <v>54</v>
      </c>
      <c r="S177">
        <v>1</v>
      </c>
      <c r="T177">
        <v>1</v>
      </c>
      <c r="U177">
        <v>0</v>
      </c>
      <c r="V177" t="s">
        <v>35</v>
      </c>
      <c r="W177" t="s">
        <v>68</v>
      </c>
      <c r="X177" t="s">
        <v>95</v>
      </c>
      <c r="Y177" t="s">
        <v>33</v>
      </c>
      <c r="Z177">
        <v>4.9000000000000004</v>
      </c>
      <c r="AA177">
        <f t="shared" si="6"/>
        <v>6</v>
      </c>
      <c r="AB177" t="str">
        <f t="shared" si="7"/>
        <v>No</v>
      </c>
      <c r="AC177" t="str">
        <f t="shared" si="8"/>
        <v>Efficient</v>
      </c>
    </row>
    <row r="178" spans="1:29" x14ac:dyDescent="0.3">
      <c r="A178" t="s">
        <v>299</v>
      </c>
      <c r="B178" s="1">
        <v>46053</v>
      </c>
      <c r="C178" s="1">
        <v>46053</v>
      </c>
      <c r="D178" s="1">
        <v>46055</v>
      </c>
      <c r="E178" t="s">
        <v>40</v>
      </c>
      <c r="F178" t="s">
        <v>41</v>
      </c>
      <c r="G178" t="s">
        <v>42</v>
      </c>
      <c r="H178">
        <v>376</v>
      </c>
      <c r="I178" t="s">
        <v>43</v>
      </c>
      <c r="J178">
        <v>2</v>
      </c>
      <c r="K178">
        <v>3384</v>
      </c>
      <c r="L178">
        <v>9</v>
      </c>
      <c r="M178" t="s">
        <v>269</v>
      </c>
      <c r="N178">
        <v>1</v>
      </c>
      <c r="O178">
        <v>3.6</v>
      </c>
      <c r="P178" t="s">
        <v>45</v>
      </c>
      <c r="Q178" t="s">
        <v>38</v>
      </c>
      <c r="R178" t="s">
        <v>67</v>
      </c>
      <c r="S178">
        <v>1</v>
      </c>
      <c r="T178">
        <v>2</v>
      </c>
      <c r="U178">
        <v>1</v>
      </c>
      <c r="V178" t="s">
        <v>46</v>
      </c>
      <c r="W178" t="s">
        <v>55</v>
      </c>
      <c r="X178" t="s">
        <v>63</v>
      </c>
      <c r="Y178" t="s">
        <v>38</v>
      </c>
      <c r="Z178">
        <v>4</v>
      </c>
      <c r="AA178">
        <f t="shared" si="6"/>
        <v>9</v>
      </c>
      <c r="AB178" t="str">
        <f t="shared" si="7"/>
        <v>Yes</v>
      </c>
      <c r="AC178" t="str">
        <f t="shared" si="8"/>
        <v>Needs Improvement</v>
      </c>
    </row>
    <row r="179" spans="1:29" x14ac:dyDescent="0.3">
      <c r="A179" t="s">
        <v>300</v>
      </c>
      <c r="B179" s="1">
        <v>46067</v>
      </c>
      <c r="C179" s="1">
        <v>46069</v>
      </c>
      <c r="D179" s="1">
        <v>46071</v>
      </c>
      <c r="E179" t="s">
        <v>57</v>
      </c>
      <c r="F179" t="s">
        <v>58</v>
      </c>
      <c r="G179" t="s">
        <v>59</v>
      </c>
      <c r="H179">
        <v>541</v>
      </c>
      <c r="I179" t="s">
        <v>30</v>
      </c>
      <c r="J179">
        <v>3</v>
      </c>
      <c r="K179">
        <v>5951</v>
      </c>
      <c r="L179">
        <v>7</v>
      </c>
      <c r="M179" t="s">
        <v>78</v>
      </c>
      <c r="N179">
        <v>15</v>
      </c>
      <c r="O179">
        <v>3.2</v>
      </c>
      <c r="P179" t="s">
        <v>32</v>
      </c>
      <c r="Q179" t="s">
        <v>62</v>
      </c>
      <c r="R179" t="s">
        <v>34</v>
      </c>
      <c r="S179">
        <v>1</v>
      </c>
      <c r="T179">
        <v>2</v>
      </c>
      <c r="U179">
        <v>1</v>
      </c>
      <c r="V179" t="s">
        <v>46</v>
      </c>
      <c r="W179" t="s">
        <v>55</v>
      </c>
      <c r="X179" t="s">
        <v>63</v>
      </c>
      <c r="Y179" t="s">
        <v>62</v>
      </c>
      <c r="Z179">
        <v>4.4000000000000004</v>
      </c>
      <c r="AA179">
        <f t="shared" si="6"/>
        <v>11</v>
      </c>
      <c r="AB179" t="str">
        <f t="shared" si="7"/>
        <v>Yes</v>
      </c>
      <c r="AC179" t="str">
        <f t="shared" si="8"/>
        <v>Needs Improvement</v>
      </c>
    </row>
    <row r="180" spans="1:29" x14ac:dyDescent="0.3">
      <c r="A180" t="s">
        <v>301</v>
      </c>
      <c r="B180" s="1">
        <v>46096</v>
      </c>
      <c r="C180" s="1">
        <v>46098</v>
      </c>
      <c r="D180" s="1">
        <v>46102</v>
      </c>
      <c r="E180" t="s">
        <v>72</v>
      </c>
      <c r="F180" t="s">
        <v>73</v>
      </c>
      <c r="G180" t="s">
        <v>74</v>
      </c>
      <c r="H180">
        <v>1216</v>
      </c>
      <c r="I180" t="s">
        <v>43</v>
      </c>
      <c r="J180">
        <v>9</v>
      </c>
      <c r="K180">
        <v>9728</v>
      </c>
      <c r="L180">
        <v>5</v>
      </c>
      <c r="M180" t="s">
        <v>153</v>
      </c>
      <c r="N180">
        <v>14</v>
      </c>
      <c r="O180">
        <v>4.0999999999999996</v>
      </c>
      <c r="P180" t="s">
        <v>66</v>
      </c>
      <c r="Q180" t="s">
        <v>38</v>
      </c>
      <c r="R180" t="s">
        <v>34</v>
      </c>
      <c r="S180">
        <v>2</v>
      </c>
      <c r="T180">
        <v>4</v>
      </c>
      <c r="U180">
        <v>2</v>
      </c>
      <c r="V180" t="s">
        <v>46</v>
      </c>
      <c r="W180" t="s">
        <v>55</v>
      </c>
      <c r="X180" t="s">
        <v>63</v>
      </c>
      <c r="Y180" t="s">
        <v>38</v>
      </c>
      <c r="Z180">
        <v>4.5</v>
      </c>
      <c r="AA180">
        <f t="shared" si="6"/>
        <v>8</v>
      </c>
      <c r="AB180" t="str">
        <f t="shared" si="7"/>
        <v>Yes</v>
      </c>
      <c r="AC180" t="str">
        <f t="shared" si="8"/>
        <v>Needs Improvement</v>
      </c>
    </row>
    <row r="181" spans="1:29" x14ac:dyDescent="0.3">
      <c r="A181" t="s">
        <v>302</v>
      </c>
      <c r="B181" s="1">
        <v>46023</v>
      </c>
      <c r="C181" s="1">
        <v>46023</v>
      </c>
      <c r="D181" s="1">
        <v>46025</v>
      </c>
      <c r="E181" t="s">
        <v>27</v>
      </c>
      <c r="F181" t="s">
        <v>28</v>
      </c>
      <c r="G181" t="s">
        <v>29</v>
      </c>
      <c r="H181">
        <v>700</v>
      </c>
      <c r="I181" t="s">
        <v>87</v>
      </c>
      <c r="J181">
        <v>8</v>
      </c>
      <c r="K181">
        <v>5600</v>
      </c>
      <c r="L181">
        <v>8</v>
      </c>
      <c r="M181" t="s">
        <v>70</v>
      </c>
      <c r="N181">
        <v>3</v>
      </c>
      <c r="O181">
        <v>4.9000000000000004</v>
      </c>
      <c r="P181" t="s">
        <v>32</v>
      </c>
      <c r="Q181" t="s">
        <v>33</v>
      </c>
      <c r="R181" t="s">
        <v>54</v>
      </c>
      <c r="S181">
        <v>1</v>
      </c>
      <c r="T181">
        <v>2</v>
      </c>
      <c r="U181">
        <v>1</v>
      </c>
      <c r="V181" t="s">
        <v>46</v>
      </c>
      <c r="W181" t="s">
        <v>68</v>
      </c>
      <c r="X181" t="s">
        <v>37</v>
      </c>
      <c r="Y181" t="s">
        <v>62</v>
      </c>
      <c r="Z181">
        <v>4.8</v>
      </c>
      <c r="AA181">
        <f t="shared" si="6"/>
        <v>8</v>
      </c>
      <c r="AB181" t="str">
        <f t="shared" si="7"/>
        <v>Yes</v>
      </c>
      <c r="AC181" t="str">
        <f t="shared" si="8"/>
        <v>Needs Improvement</v>
      </c>
    </row>
    <row r="182" spans="1:29" x14ac:dyDescent="0.3">
      <c r="A182" t="s">
        <v>303</v>
      </c>
      <c r="B182" s="1">
        <v>46063</v>
      </c>
      <c r="C182" s="1">
        <v>46064</v>
      </c>
      <c r="D182" s="1">
        <v>46068</v>
      </c>
      <c r="E182" t="s">
        <v>72</v>
      </c>
      <c r="F182" t="s">
        <v>73</v>
      </c>
      <c r="G182" t="s">
        <v>74</v>
      </c>
      <c r="H182">
        <v>1370</v>
      </c>
      <c r="I182" t="s">
        <v>30</v>
      </c>
      <c r="J182">
        <v>2</v>
      </c>
      <c r="K182">
        <v>13700</v>
      </c>
      <c r="L182">
        <v>10</v>
      </c>
      <c r="M182" t="s">
        <v>208</v>
      </c>
      <c r="N182">
        <v>3</v>
      </c>
      <c r="O182">
        <v>3.4</v>
      </c>
      <c r="P182" t="s">
        <v>32</v>
      </c>
      <c r="Q182" t="s">
        <v>62</v>
      </c>
      <c r="R182" t="s">
        <v>67</v>
      </c>
      <c r="S182">
        <v>3</v>
      </c>
      <c r="T182">
        <v>4</v>
      </c>
      <c r="U182">
        <v>1</v>
      </c>
      <c r="V182" t="s">
        <v>46</v>
      </c>
      <c r="W182" t="s">
        <v>68</v>
      </c>
      <c r="X182" t="s">
        <v>47</v>
      </c>
      <c r="Y182" t="s">
        <v>62</v>
      </c>
      <c r="Z182">
        <v>3.2</v>
      </c>
      <c r="AA182">
        <f t="shared" si="6"/>
        <v>10</v>
      </c>
      <c r="AB182" t="str">
        <f t="shared" si="7"/>
        <v>Yes</v>
      </c>
      <c r="AC182" t="str">
        <f t="shared" si="8"/>
        <v>Needs Improvement</v>
      </c>
    </row>
    <row r="183" spans="1:29" x14ac:dyDescent="0.3">
      <c r="A183" t="s">
        <v>304</v>
      </c>
      <c r="B183" s="1">
        <v>46081</v>
      </c>
      <c r="C183" s="1">
        <v>46081</v>
      </c>
      <c r="D183" s="1">
        <v>46086</v>
      </c>
      <c r="E183" t="s">
        <v>49</v>
      </c>
      <c r="F183" t="s">
        <v>50</v>
      </c>
      <c r="G183" t="s">
        <v>51</v>
      </c>
      <c r="H183">
        <v>610</v>
      </c>
      <c r="I183" t="s">
        <v>30</v>
      </c>
      <c r="J183">
        <v>10</v>
      </c>
      <c r="K183">
        <v>7320</v>
      </c>
      <c r="L183">
        <v>7</v>
      </c>
      <c r="M183" t="s">
        <v>31</v>
      </c>
      <c r="N183">
        <v>10</v>
      </c>
      <c r="O183">
        <v>3.5</v>
      </c>
      <c r="P183" t="s">
        <v>66</v>
      </c>
      <c r="Q183" t="s">
        <v>33</v>
      </c>
      <c r="R183" t="s">
        <v>34</v>
      </c>
      <c r="S183">
        <v>1</v>
      </c>
      <c r="T183">
        <v>5</v>
      </c>
      <c r="U183">
        <v>4</v>
      </c>
      <c r="V183" t="s">
        <v>46</v>
      </c>
      <c r="W183" t="s">
        <v>36</v>
      </c>
      <c r="X183" t="s">
        <v>37</v>
      </c>
      <c r="Y183" t="s">
        <v>38</v>
      </c>
      <c r="Z183">
        <v>4.9000000000000004</v>
      </c>
      <c r="AA183">
        <f t="shared" si="6"/>
        <v>12</v>
      </c>
      <c r="AB183" t="str">
        <f t="shared" si="7"/>
        <v>Yes</v>
      </c>
      <c r="AC183" t="str">
        <f t="shared" si="8"/>
        <v>Needs Improvement</v>
      </c>
    </row>
    <row r="184" spans="1:29" x14ac:dyDescent="0.3">
      <c r="A184" t="s">
        <v>305</v>
      </c>
      <c r="B184" s="1">
        <v>46026</v>
      </c>
      <c r="C184" s="1">
        <v>46026</v>
      </c>
      <c r="D184" s="1">
        <v>46030</v>
      </c>
      <c r="E184" t="s">
        <v>49</v>
      </c>
      <c r="F184" t="s">
        <v>50</v>
      </c>
      <c r="G184" t="s">
        <v>51</v>
      </c>
      <c r="H184">
        <v>1502</v>
      </c>
      <c r="I184" t="s">
        <v>87</v>
      </c>
      <c r="J184">
        <v>6</v>
      </c>
      <c r="K184">
        <v>9012</v>
      </c>
      <c r="L184">
        <v>10</v>
      </c>
      <c r="M184" t="s">
        <v>75</v>
      </c>
      <c r="N184">
        <v>14</v>
      </c>
      <c r="O184">
        <v>4.5</v>
      </c>
      <c r="P184" t="s">
        <v>66</v>
      </c>
      <c r="Q184" t="s">
        <v>38</v>
      </c>
      <c r="R184" t="s">
        <v>67</v>
      </c>
      <c r="S184">
        <v>3</v>
      </c>
      <c r="T184">
        <v>4</v>
      </c>
      <c r="U184">
        <v>1</v>
      </c>
      <c r="V184" t="s">
        <v>46</v>
      </c>
      <c r="W184" t="s">
        <v>68</v>
      </c>
      <c r="X184" t="s">
        <v>95</v>
      </c>
      <c r="Y184" t="s">
        <v>38</v>
      </c>
      <c r="Z184">
        <v>4.9000000000000004</v>
      </c>
      <c r="AA184">
        <f t="shared" si="6"/>
        <v>6</v>
      </c>
      <c r="AB184" t="str">
        <f t="shared" si="7"/>
        <v>Yes</v>
      </c>
      <c r="AC184" t="str">
        <f t="shared" si="8"/>
        <v>Needs Improvement</v>
      </c>
    </row>
    <row r="185" spans="1:29" x14ac:dyDescent="0.3">
      <c r="A185" t="s">
        <v>306</v>
      </c>
      <c r="B185" s="1">
        <v>46041</v>
      </c>
      <c r="C185" s="1">
        <v>46043</v>
      </c>
      <c r="D185" s="1">
        <v>46045</v>
      </c>
      <c r="E185" t="s">
        <v>57</v>
      </c>
      <c r="F185" t="s">
        <v>58</v>
      </c>
      <c r="G185" t="s">
        <v>59</v>
      </c>
      <c r="H185">
        <v>390</v>
      </c>
      <c r="I185" t="s">
        <v>87</v>
      </c>
      <c r="J185">
        <v>4</v>
      </c>
      <c r="K185">
        <v>4680</v>
      </c>
      <c r="L185">
        <v>9</v>
      </c>
      <c r="M185" t="s">
        <v>114</v>
      </c>
      <c r="N185">
        <v>12</v>
      </c>
      <c r="O185">
        <v>4.8</v>
      </c>
      <c r="P185" t="s">
        <v>53</v>
      </c>
      <c r="Q185" t="s">
        <v>33</v>
      </c>
      <c r="R185" t="s">
        <v>67</v>
      </c>
      <c r="S185">
        <v>1</v>
      </c>
      <c r="T185">
        <v>2</v>
      </c>
      <c r="U185">
        <v>1</v>
      </c>
      <c r="V185" t="s">
        <v>46</v>
      </c>
      <c r="W185" t="s">
        <v>55</v>
      </c>
      <c r="X185" t="s">
        <v>95</v>
      </c>
      <c r="Y185" t="s">
        <v>38</v>
      </c>
      <c r="Z185">
        <v>4.2</v>
      </c>
      <c r="AA185">
        <f t="shared" si="6"/>
        <v>12</v>
      </c>
      <c r="AB185" t="str">
        <f t="shared" si="7"/>
        <v>Yes</v>
      </c>
      <c r="AC185" t="str">
        <f t="shared" si="8"/>
        <v>Needs Improvement</v>
      </c>
    </row>
    <row r="186" spans="1:29" x14ac:dyDescent="0.3">
      <c r="A186" t="s">
        <v>307</v>
      </c>
      <c r="B186" s="1">
        <v>46030</v>
      </c>
      <c r="C186" s="1">
        <v>46031</v>
      </c>
      <c r="D186" s="1">
        <v>46032</v>
      </c>
      <c r="E186" t="s">
        <v>82</v>
      </c>
      <c r="F186" t="s">
        <v>83</v>
      </c>
      <c r="G186" t="s">
        <v>84</v>
      </c>
      <c r="H186">
        <v>684</v>
      </c>
      <c r="I186" t="s">
        <v>30</v>
      </c>
      <c r="J186">
        <v>5</v>
      </c>
      <c r="K186">
        <v>8208</v>
      </c>
      <c r="L186">
        <v>7</v>
      </c>
      <c r="M186" t="s">
        <v>205</v>
      </c>
      <c r="N186">
        <v>12</v>
      </c>
      <c r="O186">
        <v>4.7</v>
      </c>
      <c r="P186" t="s">
        <v>66</v>
      </c>
      <c r="Q186" t="s">
        <v>62</v>
      </c>
      <c r="R186" t="s">
        <v>34</v>
      </c>
      <c r="S186">
        <v>1</v>
      </c>
      <c r="T186">
        <v>1</v>
      </c>
      <c r="U186">
        <v>0</v>
      </c>
      <c r="V186" t="s">
        <v>35</v>
      </c>
      <c r="W186" t="s">
        <v>36</v>
      </c>
      <c r="X186" t="s">
        <v>37</v>
      </c>
      <c r="Y186" t="s">
        <v>38</v>
      </c>
      <c r="Z186">
        <v>4.5999999999999996</v>
      </c>
      <c r="AA186">
        <f t="shared" si="6"/>
        <v>12</v>
      </c>
      <c r="AB186" t="str">
        <f t="shared" si="7"/>
        <v>No</v>
      </c>
      <c r="AC186" t="str">
        <f t="shared" si="8"/>
        <v>Efficient</v>
      </c>
    </row>
    <row r="187" spans="1:29" x14ac:dyDescent="0.3">
      <c r="A187" t="s">
        <v>308</v>
      </c>
      <c r="B187" s="1">
        <v>46097</v>
      </c>
      <c r="C187" s="1">
        <v>46097</v>
      </c>
      <c r="D187" s="1">
        <v>46100</v>
      </c>
      <c r="E187" t="s">
        <v>82</v>
      </c>
      <c r="F187" t="s">
        <v>83</v>
      </c>
      <c r="G187" t="s">
        <v>84</v>
      </c>
      <c r="H187">
        <v>416</v>
      </c>
      <c r="I187" t="s">
        <v>60</v>
      </c>
      <c r="J187">
        <v>8</v>
      </c>
      <c r="K187">
        <v>3744</v>
      </c>
      <c r="L187">
        <v>7</v>
      </c>
      <c r="M187" t="s">
        <v>114</v>
      </c>
      <c r="N187">
        <v>2</v>
      </c>
      <c r="O187">
        <v>4.0999999999999996</v>
      </c>
      <c r="P187" t="s">
        <v>45</v>
      </c>
      <c r="Q187" t="s">
        <v>62</v>
      </c>
      <c r="R187" t="s">
        <v>34</v>
      </c>
      <c r="S187">
        <v>1</v>
      </c>
      <c r="T187">
        <v>3</v>
      </c>
      <c r="U187">
        <v>2</v>
      </c>
      <c r="V187" t="s">
        <v>46</v>
      </c>
      <c r="W187" t="s">
        <v>36</v>
      </c>
      <c r="X187" t="s">
        <v>63</v>
      </c>
      <c r="Y187" t="s">
        <v>38</v>
      </c>
      <c r="Z187">
        <v>4.5999999999999996</v>
      </c>
      <c r="AA187">
        <f t="shared" si="6"/>
        <v>9</v>
      </c>
      <c r="AB187" t="str">
        <f t="shared" si="7"/>
        <v>Yes</v>
      </c>
      <c r="AC187" t="str">
        <f t="shared" si="8"/>
        <v>Needs Improvement</v>
      </c>
    </row>
    <row r="188" spans="1:29" x14ac:dyDescent="0.3">
      <c r="A188" t="s">
        <v>309</v>
      </c>
      <c r="B188" s="1">
        <v>46061</v>
      </c>
      <c r="C188" s="1">
        <v>46063</v>
      </c>
      <c r="D188" s="1">
        <v>46065</v>
      </c>
      <c r="E188" t="s">
        <v>27</v>
      </c>
      <c r="F188" t="s">
        <v>28</v>
      </c>
      <c r="G188" t="s">
        <v>29</v>
      </c>
      <c r="H188">
        <v>640</v>
      </c>
      <c r="I188" t="s">
        <v>30</v>
      </c>
      <c r="J188">
        <v>3</v>
      </c>
      <c r="K188">
        <v>3840</v>
      </c>
      <c r="L188">
        <v>10</v>
      </c>
      <c r="M188" t="s">
        <v>125</v>
      </c>
      <c r="N188">
        <v>6</v>
      </c>
      <c r="O188">
        <v>3.8</v>
      </c>
      <c r="P188" t="s">
        <v>32</v>
      </c>
      <c r="Q188" t="s">
        <v>33</v>
      </c>
      <c r="R188" t="s">
        <v>34</v>
      </c>
      <c r="S188">
        <v>1</v>
      </c>
      <c r="T188">
        <v>2</v>
      </c>
      <c r="U188">
        <v>1</v>
      </c>
      <c r="V188" t="s">
        <v>46</v>
      </c>
      <c r="W188" t="s">
        <v>36</v>
      </c>
      <c r="X188" t="s">
        <v>95</v>
      </c>
      <c r="Y188" t="s">
        <v>62</v>
      </c>
      <c r="Z188">
        <v>4.0999999999999996</v>
      </c>
      <c r="AA188">
        <f t="shared" si="6"/>
        <v>6</v>
      </c>
      <c r="AB188" t="str">
        <f t="shared" si="7"/>
        <v>Yes</v>
      </c>
      <c r="AC188" t="str">
        <f t="shared" si="8"/>
        <v>Needs Improvement</v>
      </c>
    </row>
    <row r="189" spans="1:29" x14ac:dyDescent="0.3">
      <c r="A189" t="s">
        <v>310</v>
      </c>
      <c r="B189" s="1">
        <v>46093</v>
      </c>
      <c r="C189" s="1">
        <v>46093</v>
      </c>
      <c r="D189" s="1">
        <v>46096</v>
      </c>
      <c r="E189" t="s">
        <v>72</v>
      </c>
      <c r="F189" t="s">
        <v>73</v>
      </c>
      <c r="G189" t="s">
        <v>74</v>
      </c>
      <c r="H189">
        <v>1146</v>
      </c>
      <c r="I189" t="s">
        <v>87</v>
      </c>
      <c r="J189">
        <v>3</v>
      </c>
      <c r="K189">
        <v>6876</v>
      </c>
      <c r="L189">
        <v>5</v>
      </c>
      <c r="M189" t="s">
        <v>208</v>
      </c>
      <c r="N189">
        <v>14</v>
      </c>
      <c r="O189">
        <v>4.5999999999999996</v>
      </c>
      <c r="P189" t="s">
        <v>45</v>
      </c>
      <c r="Q189" t="s">
        <v>38</v>
      </c>
      <c r="R189" t="s">
        <v>67</v>
      </c>
      <c r="S189">
        <v>2</v>
      </c>
      <c r="T189">
        <v>3</v>
      </c>
      <c r="U189">
        <v>1</v>
      </c>
      <c r="V189" t="s">
        <v>46</v>
      </c>
      <c r="W189" t="s">
        <v>55</v>
      </c>
      <c r="X189" t="s">
        <v>63</v>
      </c>
      <c r="Y189" t="s">
        <v>33</v>
      </c>
      <c r="Z189">
        <v>4.2</v>
      </c>
      <c r="AA189">
        <f t="shared" si="6"/>
        <v>6</v>
      </c>
      <c r="AB189" t="str">
        <f t="shared" si="7"/>
        <v>Yes</v>
      </c>
      <c r="AC189" t="str">
        <f t="shared" si="8"/>
        <v>Needs Improvement</v>
      </c>
    </row>
    <row r="190" spans="1:29" x14ac:dyDescent="0.3">
      <c r="A190" t="s">
        <v>311</v>
      </c>
      <c r="B190" s="1">
        <v>46140</v>
      </c>
      <c r="C190" s="1">
        <v>46140</v>
      </c>
      <c r="D190" s="1">
        <v>46141</v>
      </c>
      <c r="E190" t="s">
        <v>27</v>
      </c>
      <c r="F190" t="s">
        <v>28</v>
      </c>
      <c r="G190" t="s">
        <v>29</v>
      </c>
      <c r="H190">
        <v>332</v>
      </c>
      <c r="I190" t="s">
        <v>60</v>
      </c>
      <c r="J190">
        <v>8</v>
      </c>
      <c r="K190">
        <v>3984</v>
      </c>
      <c r="L190">
        <v>6</v>
      </c>
      <c r="M190" t="s">
        <v>109</v>
      </c>
      <c r="N190">
        <v>15</v>
      </c>
      <c r="O190">
        <v>4.7</v>
      </c>
      <c r="P190" t="s">
        <v>66</v>
      </c>
      <c r="Q190" t="s">
        <v>38</v>
      </c>
      <c r="R190" t="s">
        <v>67</v>
      </c>
      <c r="S190">
        <v>1</v>
      </c>
      <c r="T190">
        <v>1</v>
      </c>
      <c r="U190">
        <v>0</v>
      </c>
      <c r="V190" t="s">
        <v>35</v>
      </c>
      <c r="W190" t="s">
        <v>36</v>
      </c>
      <c r="X190" t="s">
        <v>76</v>
      </c>
      <c r="Y190" t="s">
        <v>62</v>
      </c>
      <c r="Z190">
        <v>4.5999999999999996</v>
      </c>
      <c r="AA190">
        <f t="shared" si="6"/>
        <v>12</v>
      </c>
      <c r="AB190" t="str">
        <f t="shared" si="7"/>
        <v>No</v>
      </c>
      <c r="AC190" t="str">
        <f t="shared" si="8"/>
        <v>Efficient</v>
      </c>
    </row>
    <row r="191" spans="1:29" x14ac:dyDescent="0.3">
      <c r="A191" t="s">
        <v>312</v>
      </c>
      <c r="B191" s="1">
        <v>46073</v>
      </c>
      <c r="C191" s="1">
        <v>46074</v>
      </c>
      <c r="D191" s="1">
        <v>46080</v>
      </c>
      <c r="E191" t="s">
        <v>27</v>
      </c>
      <c r="F191" t="s">
        <v>28</v>
      </c>
      <c r="G191" t="s">
        <v>29</v>
      </c>
      <c r="H191">
        <v>983</v>
      </c>
      <c r="I191" t="s">
        <v>43</v>
      </c>
      <c r="J191">
        <v>3</v>
      </c>
      <c r="K191">
        <v>7864</v>
      </c>
      <c r="L191">
        <v>6</v>
      </c>
      <c r="M191" t="s">
        <v>283</v>
      </c>
      <c r="N191">
        <v>5</v>
      </c>
      <c r="O191">
        <v>3.6</v>
      </c>
      <c r="P191" t="s">
        <v>45</v>
      </c>
      <c r="Q191" t="s">
        <v>38</v>
      </c>
      <c r="R191" t="s">
        <v>54</v>
      </c>
      <c r="S191">
        <v>2</v>
      </c>
      <c r="T191">
        <v>6</v>
      </c>
      <c r="U191">
        <v>4</v>
      </c>
      <c r="V191" t="s">
        <v>46</v>
      </c>
      <c r="W191" t="s">
        <v>36</v>
      </c>
      <c r="X191" t="s">
        <v>47</v>
      </c>
      <c r="Y191" t="s">
        <v>62</v>
      </c>
      <c r="Z191">
        <v>3.8</v>
      </c>
      <c r="AA191">
        <f t="shared" si="6"/>
        <v>8</v>
      </c>
      <c r="AB191" t="str">
        <f t="shared" si="7"/>
        <v>Yes</v>
      </c>
      <c r="AC191" t="str">
        <f t="shared" si="8"/>
        <v>Needs Improvement</v>
      </c>
    </row>
    <row r="192" spans="1:29" x14ac:dyDescent="0.3">
      <c r="A192" t="s">
        <v>313</v>
      </c>
      <c r="B192" s="1">
        <v>46093</v>
      </c>
      <c r="C192" s="1">
        <v>46094</v>
      </c>
      <c r="D192" s="1">
        <v>46097</v>
      </c>
      <c r="E192" t="s">
        <v>27</v>
      </c>
      <c r="F192" t="s">
        <v>28</v>
      </c>
      <c r="G192" t="s">
        <v>29</v>
      </c>
      <c r="H192">
        <v>379</v>
      </c>
      <c r="I192" t="s">
        <v>30</v>
      </c>
      <c r="J192">
        <v>7</v>
      </c>
      <c r="K192">
        <v>2653</v>
      </c>
      <c r="L192">
        <v>8</v>
      </c>
      <c r="M192" t="s">
        <v>160</v>
      </c>
      <c r="N192">
        <v>11</v>
      </c>
      <c r="O192">
        <v>4.8</v>
      </c>
      <c r="P192" t="s">
        <v>45</v>
      </c>
      <c r="Q192" t="s">
        <v>33</v>
      </c>
      <c r="R192" t="s">
        <v>54</v>
      </c>
      <c r="S192">
        <v>1</v>
      </c>
      <c r="T192">
        <v>3</v>
      </c>
      <c r="U192">
        <v>2</v>
      </c>
      <c r="V192" t="s">
        <v>46</v>
      </c>
      <c r="W192" t="s">
        <v>68</v>
      </c>
      <c r="X192" t="s">
        <v>76</v>
      </c>
      <c r="Y192" t="s">
        <v>62</v>
      </c>
      <c r="Z192">
        <v>3.7</v>
      </c>
      <c r="AA192">
        <f t="shared" si="6"/>
        <v>7</v>
      </c>
      <c r="AB192" t="str">
        <f t="shared" si="7"/>
        <v>Yes</v>
      </c>
      <c r="AC192" t="str">
        <f t="shared" si="8"/>
        <v>Needs Improvement</v>
      </c>
    </row>
    <row r="193" spans="1:29" x14ac:dyDescent="0.3">
      <c r="A193" t="s">
        <v>314</v>
      </c>
      <c r="B193" s="1">
        <v>46095</v>
      </c>
      <c r="C193" s="1">
        <v>46097</v>
      </c>
      <c r="D193" s="1">
        <v>46101</v>
      </c>
      <c r="E193" t="s">
        <v>49</v>
      </c>
      <c r="F193" t="s">
        <v>50</v>
      </c>
      <c r="G193" t="s">
        <v>51</v>
      </c>
      <c r="H193">
        <v>995</v>
      </c>
      <c r="I193" t="s">
        <v>30</v>
      </c>
      <c r="J193">
        <v>3</v>
      </c>
      <c r="K193">
        <v>5970</v>
      </c>
      <c r="L193">
        <v>7</v>
      </c>
      <c r="M193" t="s">
        <v>269</v>
      </c>
      <c r="N193">
        <v>4</v>
      </c>
      <c r="O193">
        <v>3.1</v>
      </c>
      <c r="P193" t="s">
        <v>66</v>
      </c>
      <c r="Q193" t="s">
        <v>38</v>
      </c>
      <c r="R193" t="s">
        <v>34</v>
      </c>
      <c r="S193">
        <v>2</v>
      </c>
      <c r="T193">
        <v>4</v>
      </c>
      <c r="U193">
        <v>2</v>
      </c>
      <c r="V193" t="s">
        <v>46</v>
      </c>
      <c r="W193" t="s">
        <v>55</v>
      </c>
      <c r="X193" t="s">
        <v>37</v>
      </c>
      <c r="Y193" t="s">
        <v>38</v>
      </c>
      <c r="Z193">
        <v>3.2</v>
      </c>
      <c r="AA193">
        <f t="shared" si="6"/>
        <v>6</v>
      </c>
      <c r="AB193" t="str">
        <f t="shared" si="7"/>
        <v>Yes</v>
      </c>
      <c r="AC193" t="str">
        <f t="shared" si="8"/>
        <v>Needs Improvement</v>
      </c>
    </row>
    <row r="194" spans="1:29" x14ac:dyDescent="0.3">
      <c r="A194" t="s">
        <v>315</v>
      </c>
      <c r="B194" s="1">
        <v>46107</v>
      </c>
      <c r="C194" s="1">
        <v>46107</v>
      </c>
      <c r="D194" s="1">
        <v>46111</v>
      </c>
      <c r="E194" t="s">
        <v>57</v>
      </c>
      <c r="F194" t="s">
        <v>58</v>
      </c>
      <c r="G194" t="s">
        <v>59</v>
      </c>
      <c r="H194">
        <v>1292</v>
      </c>
      <c r="I194" t="s">
        <v>87</v>
      </c>
      <c r="J194">
        <v>4</v>
      </c>
      <c r="K194">
        <v>12920</v>
      </c>
      <c r="L194">
        <v>8</v>
      </c>
      <c r="M194" t="s">
        <v>178</v>
      </c>
      <c r="N194">
        <v>15</v>
      </c>
      <c r="O194">
        <v>4.7</v>
      </c>
      <c r="P194" t="s">
        <v>45</v>
      </c>
      <c r="Q194" t="s">
        <v>38</v>
      </c>
      <c r="R194" t="s">
        <v>67</v>
      </c>
      <c r="S194">
        <v>2</v>
      </c>
      <c r="T194">
        <v>4</v>
      </c>
      <c r="U194">
        <v>2</v>
      </c>
      <c r="V194" t="s">
        <v>46</v>
      </c>
      <c r="W194" t="s">
        <v>55</v>
      </c>
      <c r="X194" t="s">
        <v>47</v>
      </c>
      <c r="Y194" t="s">
        <v>33</v>
      </c>
      <c r="Z194">
        <v>3.1</v>
      </c>
      <c r="AA194">
        <f t="shared" si="6"/>
        <v>10</v>
      </c>
      <c r="AB194" t="str">
        <f t="shared" si="7"/>
        <v>Yes</v>
      </c>
      <c r="AC194" t="str">
        <f t="shared" si="8"/>
        <v>Needs Improvement</v>
      </c>
    </row>
    <row r="195" spans="1:29" x14ac:dyDescent="0.3">
      <c r="A195" t="s">
        <v>316</v>
      </c>
      <c r="B195" s="1">
        <v>46112</v>
      </c>
      <c r="C195" s="1">
        <v>46113</v>
      </c>
      <c r="D195" s="1">
        <v>46117</v>
      </c>
      <c r="E195" t="s">
        <v>82</v>
      </c>
      <c r="F195" t="s">
        <v>83</v>
      </c>
      <c r="G195" t="s">
        <v>84</v>
      </c>
      <c r="H195">
        <v>1353</v>
      </c>
      <c r="I195" t="s">
        <v>60</v>
      </c>
      <c r="J195">
        <v>8</v>
      </c>
      <c r="K195">
        <v>13530</v>
      </c>
      <c r="L195">
        <v>7</v>
      </c>
      <c r="M195" t="s">
        <v>283</v>
      </c>
      <c r="N195">
        <v>8</v>
      </c>
      <c r="O195">
        <v>3.1</v>
      </c>
      <c r="P195" t="s">
        <v>32</v>
      </c>
      <c r="Q195" t="s">
        <v>38</v>
      </c>
      <c r="R195" t="s">
        <v>54</v>
      </c>
      <c r="S195">
        <v>3</v>
      </c>
      <c r="T195">
        <v>4</v>
      </c>
      <c r="U195">
        <v>1</v>
      </c>
      <c r="V195" t="s">
        <v>46</v>
      </c>
      <c r="W195" t="s">
        <v>36</v>
      </c>
      <c r="X195" t="s">
        <v>76</v>
      </c>
      <c r="Y195" t="s">
        <v>62</v>
      </c>
      <c r="Z195">
        <v>3</v>
      </c>
      <c r="AA195">
        <f t="shared" ref="AA195:AA258" si="9">(K195/H195)</f>
        <v>10</v>
      </c>
      <c r="AB195" t="str">
        <f t="shared" ref="AB195:AB258" si="10">IF(U195&gt;0,"Yes","No")</f>
        <v>Yes</v>
      </c>
      <c r="AC195" t="str">
        <f t="shared" ref="AC195:AC258" si="11">IF(U195=0,"Efficient","Needs Improvement")</f>
        <v>Needs Improvement</v>
      </c>
    </row>
    <row r="196" spans="1:29" x14ac:dyDescent="0.3">
      <c r="A196" t="s">
        <v>317</v>
      </c>
      <c r="B196" s="1">
        <v>46140</v>
      </c>
      <c r="C196" s="1">
        <v>46142</v>
      </c>
      <c r="D196" s="1">
        <v>46143</v>
      </c>
      <c r="E196" t="s">
        <v>40</v>
      </c>
      <c r="F196" t="s">
        <v>41</v>
      </c>
      <c r="G196" t="s">
        <v>42</v>
      </c>
      <c r="H196">
        <v>467</v>
      </c>
      <c r="I196" t="s">
        <v>30</v>
      </c>
      <c r="J196">
        <v>3</v>
      </c>
      <c r="K196">
        <v>5604</v>
      </c>
      <c r="L196">
        <v>7</v>
      </c>
      <c r="M196" t="s">
        <v>208</v>
      </c>
      <c r="N196">
        <v>1</v>
      </c>
      <c r="O196">
        <v>3.3</v>
      </c>
      <c r="P196" t="s">
        <v>45</v>
      </c>
      <c r="Q196" t="s">
        <v>38</v>
      </c>
      <c r="R196" t="s">
        <v>54</v>
      </c>
      <c r="S196">
        <v>1</v>
      </c>
      <c r="T196">
        <v>1</v>
      </c>
      <c r="U196">
        <v>0</v>
      </c>
      <c r="V196" t="s">
        <v>35</v>
      </c>
      <c r="W196" t="s">
        <v>68</v>
      </c>
      <c r="X196" t="s">
        <v>95</v>
      </c>
      <c r="Y196" t="s">
        <v>33</v>
      </c>
      <c r="Z196">
        <v>3.2</v>
      </c>
      <c r="AA196">
        <f t="shared" si="9"/>
        <v>12</v>
      </c>
      <c r="AB196" t="str">
        <f t="shared" si="10"/>
        <v>No</v>
      </c>
      <c r="AC196" t="str">
        <f t="shared" si="11"/>
        <v>Efficient</v>
      </c>
    </row>
    <row r="197" spans="1:29" x14ac:dyDescent="0.3">
      <c r="A197" t="s">
        <v>318</v>
      </c>
      <c r="B197" s="1">
        <v>46061</v>
      </c>
      <c r="C197" s="1">
        <v>46062</v>
      </c>
      <c r="D197" s="1">
        <v>46064</v>
      </c>
      <c r="E197" t="s">
        <v>82</v>
      </c>
      <c r="F197" t="s">
        <v>83</v>
      </c>
      <c r="G197" t="s">
        <v>84</v>
      </c>
      <c r="H197">
        <v>522</v>
      </c>
      <c r="I197" t="s">
        <v>43</v>
      </c>
      <c r="J197">
        <v>8</v>
      </c>
      <c r="K197">
        <v>5742</v>
      </c>
      <c r="L197">
        <v>7</v>
      </c>
      <c r="M197" t="s">
        <v>283</v>
      </c>
      <c r="N197">
        <v>12</v>
      </c>
      <c r="O197">
        <v>4.9000000000000004</v>
      </c>
      <c r="P197" t="s">
        <v>66</v>
      </c>
      <c r="Q197" t="s">
        <v>38</v>
      </c>
      <c r="R197" t="s">
        <v>54</v>
      </c>
      <c r="S197">
        <v>1</v>
      </c>
      <c r="T197">
        <v>2</v>
      </c>
      <c r="U197">
        <v>1</v>
      </c>
      <c r="V197" t="s">
        <v>46</v>
      </c>
      <c r="W197" t="s">
        <v>68</v>
      </c>
      <c r="X197" t="s">
        <v>47</v>
      </c>
      <c r="Y197" t="s">
        <v>33</v>
      </c>
      <c r="Z197">
        <v>4.4000000000000004</v>
      </c>
      <c r="AA197">
        <f t="shared" si="9"/>
        <v>11</v>
      </c>
      <c r="AB197" t="str">
        <f t="shared" si="10"/>
        <v>Yes</v>
      </c>
      <c r="AC197" t="str">
        <f t="shared" si="11"/>
        <v>Needs Improvement</v>
      </c>
    </row>
    <row r="198" spans="1:29" x14ac:dyDescent="0.3">
      <c r="A198" t="s">
        <v>319</v>
      </c>
      <c r="B198" s="1">
        <v>46039</v>
      </c>
      <c r="C198" s="1">
        <v>46039</v>
      </c>
      <c r="D198" s="1">
        <v>46043</v>
      </c>
      <c r="E198" t="s">
        <v>27</v>
      </c>
      <c r="F198" t="s">
        <v>28</v>
      </c>
      <c r="G198" t="s">
        <v>29</v>
      </c>
      <c r="H198">
        <v>1637</v>
      </c>
      <c r="I198" t="s">
        <v>43</v>
      </c>
      <c r="J198">
        <v>10</v>
      </c>
      <c r="K198">
        <v>9822</v>
      </c>
      <c r="L198">
        <v>6</v>
      </c>
      <c r="M198" t="s">
        <v>269</v>
      </c>
      <c r="N198">
        <v>6</v>
      </c>
      <c r="O198">
        <v>4.8</v>
      </c>
      <c r="P198" t="s">
        <v>45</v>
      </c>
      <c r="Q198" t="s">
        <v>33</v>
      </c>
      <c r="R198" t="s">
        <v>54</v>
      </c>
      <c r="S198">
        <v>3</v>
      </c>
      <c r="T198">
        <v>4</v>
      </c>
      <c r="U198">
        <v>1</v>
      </c>
      <c r="V198" t="s">
        <v>46</v>
      </c>
      <c r="W198" t="s">
        <v>68</v>
      </c>
      <c r="X198" t="s">
        <v>63</v>
      </c>
      <c r="Y198" t="s">
        <v>38</v>
      </c>
      <c r="Z198">
        <v>3.7</v>
      </c>
      <c r="AA198">
        <f t="shared" si="9"/>
        <v>6</v>
      </c>
      <c r="AB198" t="str">
        <f t="shared" si="10"/>
        <v>Yes</v>
      </c>
      <c r="AC198" t="str">
        <f t="shared" si="11"/>
        <v>Needs Improvement</v>
      </c>
    </row>
    <row r="199" spans="1:29" x14ac:dyDescent="0.3">
      <c r="A199" t="s">
        <v>320</v>
      </c>
      <c r="B199" s="1">
        <v>46063</v>
      </c>
      <c r="C199" s="1">
        <v>46063</v>
      </c>
      <c r="D199" s="1">
        <v>46066</v>
      </c>
      <c r="E199" t="s">
        <v>72</v>
      </c>
      <c r="F199" t="s">
        <v>73</v>
      </c>
      <c r="G199" t="s">
        <v>74</v>
      </c>
      <c r="H199">
        <v>1651</v>
      </c>
      <c r="I199" t="s">
        <v>30</v>
      </c>
      <c r="J199">
        <v>8</v>
      </c>
      <c r="K199">
        <v>9906</v>
      </c>
      <c r="L199">
        <v>7</v>
      </c>
      <c r="M199" t="s">
        <v>90</v>
      </c>
      <c r="N199">
        <v>4</v>
      </c>
      <c r="O199">
        <v>4.4000000000000004</v>
      </c>
      <c r="P199" t="s">
        <v>66</v>
      </c>
      <c r="Q199" t="s">
        <v>62</v>
      </c>
      <c r="R199" t="s">
        <v>67</v>
      </c>
      <c r="S199">
        <v>3</v>
      </c>
      <c r="T199">
        <v>3</v>
      </c>
      <c r="U199">
        <v>0</v>
      </c>
      <c r="V199" t="s">
        <v>35</v>
      </c>
      <c r="W199" t="s">
        <v>36</v>
      </c>
      <c r="X199" t="s">
        <v>95</v>
      </c>
      <c r="Y199" t="s">
        <v>62</v>
      </c>
      <c r="Z199">
        <v>4.5</v>
      </c>
      <c r="AA199">
        <f t="shared" si="9"/>
        <v>6</v>
      </c>
      <c r="AB199" t="str">
        <f t="shared" si="10"/>
        <v>No</v>
      </c>
      <c r="AC199" t="str">
        <f t="shared" si="11"/>
        <v>Efficient</v>
      </c>
    </row>
    <row r="200" spans="1:29" x14ac:dyDescent="0.3">
      <c r="A200" t="s">
        <v>321</v>
      </c>
      <c r="B200" s="1">
        <v>46044</v>
      </c>
      <c r="C200" s="1">
        <v>46045</v>
      </c>
      <c r="D200" s="1">
        <v>46047</v>
      </c>
      <c r="E200" t="s">
        <v>92</v>
      </c>
      <c r="F200" t="s">
        <v>93</v>
      </c>
      <c r="G200" t="s">
        <v>94</v>
      </c>
      <c r="H200">
        <v>975</v>
      </c>
      <c r="I200" t="s">
        <v>30</v>
      </c>
      <c r="J200">
        <v>9</v>
      </c>
      <c r="K200">
        <v>8775</v>
      </c>
      <c r="L200">
        <v>5</v>
      </c>
      <c r="M200" t="s">
        <v>116</v>
      </c>
      <c r="N200">
        <v>13</v>
      </c>
      <c r="O200">
        <v>4.7</v>
      </c>
      <c r="P200" t="s">
        <v>45</v>
      </c>
      <c r="Q200" t="s">
        <v>38</v>
      </c>
      <c r="R200" t="s">
        <v>34</v>
      </c>
      <c r="S200">
        <v>2</v>
      </c>
      <c r="T200">
        <v>2</v>
      </c>
      <c r="U200">
        <v>0</v>
      </c>
      <c r="V200" t="s">
        <v>35</v>
      </c>
      <c r="W200" t="s">
        <v>68</v>
      </c>
      <c r="X200" t="s">
        <v>63</v>
      </c>
      <c r="Y200" t="s">
        <v>62</v>
      </c>
      <c r="Z200">
        <v>3.5</v>
      </c>
      <c r="AA200">
        <f t="shared" si="9"/>
        <v>9</v>
      </c>
      <c r="AB200" t="str">
        <f t="shared" si="10"/>
        <v>No</v>
      </c>
      <c r="AC200" t="str">
        <f t="shared" si="11"/>
        <v>Efficient</v>
      </c>
    </row>
    <row r="201" spans="1:29" x14ac:dyDescent="0.3">
      <c r="A201" t="s">
        <v>322</v>
      </c>
      <c r="B201" s="1">
        <v>46036</v>
      </c>
      <c r="C201" s="1">
        <v>46036</v>
      </c>
      <c r="D201" s="1">
        <v>46037</v>
      </c>
      <c r="E201" t="s">
        <v>49</v>
      </c>
      <c r="F201" t="s">
        <v>50</v>
      </c>
      <c r="G201" t="s">
        <v>51</v>
      </c>
      <c r="H201">
        <v>548</v>
      </c>
      <c r="I201" t="s">
        <v>43</v>
      </c>
      <c r="J201">
        <v>3</v>
      </c>
      <c r="K201">
        <v>6028</v>
      </c>
      <c r="L201">
        <v>5</v>
      </c>
      <c r="M201" t="s">
        <v>88</v>
      </c>
      <c r="N201">
        <v>15</v>
      </c>
      <c r="O201">
        <v>5</v>
      </c>
      <c r="P201" t="s">
        <v>66</v>
      </c>
      <c r="Q201" t="s">
        <v>33</v>
      </c>
      <c r="R201" t="s">
        <v>54</v>
      </c>
      <c r="S201">
        <v>1</v>
      </c>
      <c r="T201">
        <v>1</v>
      </c>
      <c r="U201">
        <v>0</v>
      </c>
      <c r="V201" t="s">
        <v>35</v>
      </c>
      <c r="W201" t="s">
        <v>68</v>
      </c>
      <c r="X201" t="s">
        <v>37</v>
      </c>
      <c r="Y201" t="s">
        <v>33</v>
      </c>
      <c r="Z201">
        <v>4.8</v>
      </c>
      <c r="AA201">
        <f t="shared" si="9"/>
        <v>11</v>
      </c>
      <c r="AB201" t="str">
        <f t="shared" si="10"/>
        <v>No</v>
      </c>
      <c r="AC201" t="str">
        <f t="shared" si="11"/>
        <v>Efficient</v>
      </c>
    </row>
    <row r="202" spans="1:29" x14ac:dyDescent="0.3">
      <c r="A202" t="s">
        <v>323</v>
      </c>
      <c r="B202" s="1">
        <v>46043</v>
      </c>
      <c r="C202" s="1">
        <v>46043</v>
      </c>
      <c r="D202" s="1">
        <v>46044</v>
      </c>
      <c r="E202" t="s">
        <v>72</v>
      </c>
      <c r="F202" t="s">
        <v>73</v>
      </c>
      <c r="G202" t="s">
        <v>74</v>
      </c>
      <c r="H202">
        <v>878</v>
      </c>
      <c r="I202" t="s">
        <v>60</v>
      </c>
      <c r="J202">
        <v>4</v>
      </c>
      <c r="K202">
        <v>7902</v>
      </c>
      <c r="L202">
        <v>10</v>
      </c>
      <c r="M202" t="s">
        <v>88</v>
      </c>
      <c r="N202">
        <v>12</v>
      </c>
      <c r="O202">
        <v>4.9000000000000004</v>
      </c>
      <c r="P202" t="s">
        <v>66</v>
      </c>
      <c r="Q202" t="s">
        <v>33</v>
      </c>
      <c r="R202" t="s">
        <v>34</v>
      </c>
      <c r="S202">
        <v>1</v>
      </c>
      <c r="T202">
        <v>1</v>
      </c>
      <c r="U202">
        <v>0</v>
      </c>
      <c r="V202" t="s">
        <v>35</v>
      </c>
      <c r="W202" t="s">
        <v>36</v>
      </c>
      <c r="X202" t="s">
        <v>95</v>
      </c>
      <c r="Y202" t="s">
        <v>33</v>
      </c>
      <c r="Z202">
        <v>4.0999999999999996</v>
      </c>
      <c r="AA202">
        <f t="shared" si="9"/>
        <v>9</v>
      </c>
      <c r="AB202" t="str">
        <f t="shared" si="10"/>
        <v>No</v>
      </c>
      <c r="AC202" t="str">
        <f t="shared" si="11"/>
        <v>Efficient</v>
      </c>
    </row>
    <row r="203" spans="1:29" x14ac:dyDescent="0.3">
      <c r="A203" t="s">
        <v>324</v>
      </c>
      <c r="B203" s="1">
        <v>46085</v>
      </c>
      <c r="C203" s="1">
        <v>46085</v>
      </c>
      <c r="D203" s="1">
        <v>46087</v>
      </c>
      <c r="E203" t="s">
        <v>27</v>
      </c>
      <c r="F203" t="s">
        <v>28</v>
      </c>
      <c r="G203" t="s">
        <v>29</v>
      </c>
      <c r="H203">
        <v>938</v>
      </c>
      <c r="I203" t="s">
        <v>87</v>
      </c>
      <c r="J203">
        <v>7</v>
      </c>
      <c r="K203">
        <v>5628</v>
      </c>
      <c r="L203">
        <v>7</v>
      </c>
      <c r="M203" t="s">
        <v>103</v>
      </c>
      <c r="N203">
        <v>11</v>
      </c>
      <c r="O203">
        <v>4.2</v>
      </c>
      <c r="P203" t="s">
        <v>45</v>
      </c>
      <c r="Q203" t="s">
        <v>38</v>
      </c>
      <c r="R203" t="s">
        <v>67</v>
      </c>
      <c r="S203">
        <v>2</v>
      </c>
      <c r="T203">
        <v>2</v>
      </c>
      <c r="U203">
        <v>0</v>
      </c>
      <c r="V203" t="s">
        <v>35</v>
      </c>
      <c r="W203" t="s">
        <v>55</v>
      </c>
      <c r="X203" t="s">
        <v>47</v>
      </c>
      <c r="Y203" t="s">
        <v>38</v>
      </c>
      <c r="Z203">
        <v>3.9</v>
      </c>
      <c r="AA203">
        <f t="shared" si="9"/>
        <v>6</v>
      </c>
      <c r="AB203" t="str">
        <f t="shared" si="10"/>
        <v>No</v>
      </c>
      <c r="AC203" t="str">
        <f t="shared" si="11"/>
        <v>Efficient</v>
      </c>
    </row>
    <row r="204" spans="1:29" x14ac:dyDescent="0.3">
      <c r="A204" t="s">
        <v>325</v>
      </c>
      <c r="B204" s="1">
        <v>46037</v>
      </c>
      <c r="C204" s="1">
        <v>46038</v>
      </c>
      <c r="D204" s="1">
        <v>46040</v>
      </c>
      <c r="E204" t="s">
        <v>111</v>
      </c>
      <c r="F204" t="s">
        <v>27</v>
      </c>
      <c r="G204" t="s">
        <v>112</v>
      </c>
      <c r="H204">
        <v>1164</v>
      </c>
      <c r="I204" t="s">
        <v>43</v>
      </c>
      <c r="J204">
        <v>5</v>
      </c>
      <c r="K204">
        <v>6984</v>
      </c>
      <c r="L204">
        <v>10</v>
      </c>
      <c r="M204" t="s">
        <v>52</v>
      </c>
      <c r="N204">
        <v>7</v>
      </c>
      <c r="O204">
        <v>3.4</v>
      </c>
      <c r="P204" t="s">
        <v>53</v>
      </c>
      <c r="Q204" t="s">
        <v>62</v>
      </c>
      <c r="R204" t="s">
        <v>67</v>
      </c>
      <c r="S204">
        <v>2</v>
      </c>
      <c r="T204">
        <v>2</v>
      </c>
      <c r="U204">
        <v>0</v>
      </c>
      <c r="V204" t="s">
        <v>35</v>
      </c>
      <c r="W204" t="s">
        <v>68</v>
      </c>
      <c r="X204" t="s">
        <v>95</v>
      </c>
      <c r="Y204" t="s">
        <v>62</v>
      </c>
      <c r="Z204">
        <v>3.5</v>
      </c>
      <c r="AA204">
        <f t="shared" si="9"/>
        <v>6</v>
      </c>
      <c r="AB204" t="str">
        <f t="shared" si="10"/>
        <v>No</v>
      </c>
      <c r="AC204" t="str">
        <f t="shared" si="11"/>
        <v>Efficient</v>
      </c>
    </row>
    <row r="205" spans="1:29" x14ac:dyDescent="0.3">
      <c r="A205" t="s">
        <v>326</v>
      </c>
      <c r="B205" s="1">
        <v>46130</v>
      </c>
      <c r="C205" s="1">
        <v>46131</v>
      </c>
      <c r="D205" s="1">
        <v>46135</v>
      </c>
      <c r="E205" t="s">
        <v>27</v>
      </c>
      <c r="F205" t="s">
        <v>28</v>
      </c>
      <c r="G205" t="s">
        <v>29</v>
      </c>
      <c r="H205">
        <v>509</v>
      </c>
      <c r="I205" t="s">
        <v>87</v>
      </c>
      <c r="J205">
        <v>2</v>
      </c>
      <c r="K205">
        <v>5599</v>
      </c>
      <c r="L205">
        <v>7</v>
      </c>
      <c r="M205" t="s">
        <v>52</v>
      </c>
      <c r="N205">
        <v>7</v>
      </c>
      <c r="O205">
        <v>4.9000000000000004</v>
      </c>
      <c r="P205" t="s">
        <v>45</v>
      </c>
      <c r="Q205" t="s">
        <v>33</v>
      </c>
      <c r="R205" t="s">
        <v>67</v>
      </c>
      <c r="S205">
        <v>1</v>
      </c>
      <c r="T205">
        <v>4</v>
      </c>
      <c r="U205">
        <v>3</v>
      </c>
      <c r="V205" t="s">
        <v>46</v>
      </c>
      <c r="W205" t="s">
        <v>55</v>
      </c>
      <c r="X205" t="s">
        <v>95</v>
      </c>
      <c r="Y205" t="s">
        <v>33</v>
      </c>
      <c r="Z205">
        <v>4.8</v>
      </c>
      <c r="AA205">
        <f t="shared" si="9"/>
        <v>11</v>
      </c>
      <c r="AB205" t="str">
        <f t="shared" si="10"/>
        <v>Yes</v>
      </c>
      <c r="AC205" t="str">
        <f t="shared" si="11"/>
        <v>Needs Improvement</v>
      </c>
    </row>
    <row r="206" spans="1:29" x14ac:dyDescent="0.3">
      <c r="A206" t="s">
        <v>327</v>
      </c>
      <c r="B206" s="1">
        <v>46083</v>
      </c>
      <c r="C206" s="1">
        <v>46084</v>
      </c>
      <c r="D206" s="1">
        <v>46086</v>
      </c>
      <c r="E206" t="s">
        <v>72</v>
      </c>
      <c r="F206" t="s">
        <v>73</v>
      </c>
      <c r="G206" t="s">
        <v>74</v>
      </c>
      <c r="H206">
        <v>1008</v>
      </c>
      <c r="I206" t="s">
        <v>87</v>
      </c>
      <c r="J206">
        <v>9</v>
      </c>
      <c r="K206">
        <v>10080</v>
      </c>
      <c r="L206">
        <v>9</v>
      </c>
      <c r="M206" t="s">
        <v>105</v>
      </c>
      <c r="N206">
        <v>11</v>
      </c>
      <c r="O206">
        <v>5</v>
      </c>
      <c r="P206" t="s">
        <v>45</v>
      </c>
      <c r="Q206" t="s">
        <v>38</v>
      </c>
      <c r="R206" t="s">
        <v>34</v>
      </c>
      <c r="S206">
        <v>2</v>
      </c>
      <c r="T206">
        <v>2</v>
      </c>
      <c r="U206">
        <v>0</v>
      </c>
      <c r="V206" t="s">
        <v>35</v>
      </c>
      <c r="W206" t="s">
        <v>36</v>
      </c>
      <c r="X206" t="s">
        <v>37</v>
      </c>
      <c r="Y206" t="s">
        <v>38</v>
      </c>
      <c r="Z206">
        <v>3.1</v>
      </c>
      <c r="AA206">
        <f t="shared" si="9"/>
        <v>10</v>
      </c>
      <c r="AB206" t="str">
        <f t="shared" si="10"/>
        <v>No</v>
      </c>
      <c r="AC206" t="str">
        <f t="shared" si="11"/>
        <v>Efficient</v>
      </c>
    </row>
    <row r="207" spans="1:29" x14ac:dyDescent="0.3">
      <c r="A207" t="s">
        <v>328</v>
      </c>
      <c r="B207" s="1">
        <v>46033</v>
      </c>
      <c r="C207" s="1">
        <v>46035</v>
      </c>
      <c r="D207" s="1">
        <v>46039</v>
      </c>
      <c r="E207" t="s">
        <v>111</v>
      </c>
      <c r="F207" t="s">
        <v>27</v>
      </c>
      <c r="G207" t="s">
        <v>112</v>
      </c>
      <c r="H207">
        <v>613</v>
      </c>
      <c r="I207" t="s">
        <v>60</v>
      </c>
      <c r="J207">
        <v>10</v>
      </c>
      <c r="K207">
        <v>4904</v>
      </c>
      <c r="L207">
        <v>7</v>
      </c>
      <c r="M207" t="s">
        <v>78</v>
      </c>
      <c r="N207">
        <v>15</v>
      </c>
      <c r="O207">
        <v>4.5999999999999996</v>
      </c>
      <c r="P207" t="s">
        <v>32</v>
      </c>
      <c r="Q207" t="s">
        <v>62</v>
      </c>
      <c r="R207" t="s">
        <v>54</v>
      </c>
      <c r="S207">
        <v>1</v>
      </c>
      <c r="T207">
        <v>4</v>
      </c>
      <c r="U207">
        <v>3</v>
      </c>
      <c r="V207" t="s">
        <v>46</v>
      </c>
      <c r="W207" t="s">
        <v>55</v>
      </c>
      <c r="X207" t="s">
        <v>47</v>
      </c>
      <c r="Y207" t="s">
        <v>62</v>
      </c>
      <c r="Z207">
        <v>4</v>
      </c>
      <c r="AA207">
        <f t="shared" si="9"/>
        <v>8</v>
      </c>
      <c r="AB207" t="str">
        <f t="shared" si="10"/>
        <v>Yes</v>
      </c>
      <c r="AC207" t="str">
        <f t="shared" si="11"/>
        <v>Needs Improvement</v>
      </c>
    </row>
    <row r="208" spans="1:29" x14ac:dyDescent="0.3">
      <c r="A208" t="s">
        <v>329</v>
      </c>
      <c r="B208" s="1">
        <v>46140</v>
      </c>
      <c r="C208" s="1">
        <v>46140</v>
      </c>
      <c r="D208" s="1">
        <v>46141</v>
      </c>
      <c r="E208" t="s">
        <v>111</v>
      </c>
      <c r="F208" t="s">
        <v>27</v>
      </c>
      <c r="G208" t="s">
        <v>112</v>
      </c>
      <c r="H208">
        <v>430</v>
      </c>
      <c r="I208" t="s">
        <v>43</v>
      </c>
      <c r="J208">
        <v>3</v>
      </c>
      <c r="K208">
        <v>3010</v>
      </c>
      <c r="L208">
        <v>9</v>
      </c>
      <c r="M208" t="s">
        <v>145</v>
      </c>
      <c r="N208">
        <v>10</v>
      </c>
      <c r="O208">
        <v>4.5</v>
      </c>
      <c r="P208" t="s">
        <v>32</v>
      </c>
      <c r="Q208" t="s">
        <v>38</v>
      </c>
      <c r="R208" t="s">
        <v>54</v>
      </c>
      <c r="S208">
        <v>1</v>
      </c>
      <c r="T208">
        <v>1</v>
      </c>
      <c r="U208">
        <v>0</v>
      </c>
      <c r="V208" t="s">
        <v>35</v>
      </c>
      <c r="W208" t="s">
        <v>68</v>
      </c>
      <c r="X208" t="s">
        <v>76</v>
      </c>
      <c r="Y208" t="s">
        <v>62</v>
      </c>
      <c r="Z208">
        <v>4.8</v>
      </c>
      <c r="AA208">
        <f t="shared" si="9"/>
        <v>7</v>
      </c>
      <c r="AB208" t="str">
        <f t="shared" si="10"/>
        <v>No</v>
      </c>
      <c r="AC208" t="str">
        <f t="shared" si="11"/>
        <v>Efficient</v>
      </c>
    </row>
    <row r="209" spans="1:29" x14ac:dyDescent="0.3">
      <c r="A209" t="s">
        <v>330</v>
      </c>
      <c r="B209" s="1">
        <v>46056</v>
      </c>
      <c r="C209" s="1">
        <v>46057</v>
      </c>
      <c r="D209" s="1">
        <v>46062</v>
      </c>
      <c r="E209" t="s">
        <v>92</v>
      </c>
      <c r="F209" t="s">
        <v>93</v>
      </c>
      <c r="G209" t="s">
        <v>94</v>
      </c>
      <c r="H209">
        <v>1371</v>
      </c>
      <c r="I209" t="s">
        <v>43</v>
      </c>
      <c r="J209">
        <v>1</v>
      </c>
      <c r="K209">
        <v>9597</v>
      </c>
      <c r="L209">
        <v>7</v>
      </c>
      <c r="M209" t="s">
        <v>205</v>
      </c>
      <c r="N209">
        <v>3</v>
      </c>
      <c r="O209">
        <v>4.2</v>
      </c>
      <c r="P209" t="s">
        <v>53</v>
      </c>
      <c r="Q209" t="s">
        <v>38</v>
      </c>
      <c r="R209" t="s">
        <v>34</v>
      </c>
      <c r="S209">
        <v>3</v>
      </c>
      <c r="T209">
        <v>5</v>
      </c>
      <c r="U209">
        <v>2</v>
      </c>
      <c r="V209" t="s">
        <v>46</v>
      </c>
      <c r="W209" t="s">
        <v>36</v>
      </c>
      <c r="X209" t="s">
        <v>63</v>
      </c>
      <c r="Y209" t="s">
        <v>33</v>
      </c>
      <c r="Z209">
        <v>4</v>
      </c>
      <c r="AA209">
        <f t="shared" si="9"/>
        <v>7</v>
      </c>
      <c r="AB209" t="str">
        <f t="shared" si="10"/>
        <v>Yes</v>
      </c>
      <c r="AC209" t="str">
        <f t="shared" si="11"/>
        <v>Needs Improvement</v>
      </c>
    </row>
    <row r="210" spans="1:29" x14ac:dyDescent="0.3">
      <c r="A210" t="s">
        <v>331</v>
      </c>
      <c r="B210" s="1">
        <v>46057</v>
      </c>
      <c r="C210" s="1">
        <v>46058</v>
      </c>
      <c r="D210" s="1">
        <v>46062</v>
      </c>
      <c r="E210" t="s">
        <v>27</v>
      </c>
      <c r="F210" t="s">
        <v>28</v>
      </c>
      <c r="G210" t="s">
        <v>29</v>
      </c>
      <c r="H210">
        <v>891</v>
      </c>
      <c r="I210" t="s">
        <v>30</v>
      </c>
      <c r="J210">
        <v>5</v>
      </c>
      <c r="K210">
        <v>7128</v>
      </c>
      <c r="L210">
        <v>8</v>
      </c>
      <c r="M210" t="s">
        <v>65</v>
      </c>
      <c r="N210">
        <v>11</v>
      </c>
      <c r="O210">
        <v>3.2</v>
      </c>
      <c r="P210" t="s">
        <v>45</v>
      </c>
      <c r="Q210" t="s">
        <v>38</v>
      </c>
      <c r="R210" t="s">
        <v>34</v>
      </c>
      <c r="S210">
        <v>1</v>
      </c>
      <c r="T210">
        <v>4</v>
      </c>
      <c r="U210">
        <v>3</v>
      </c>
      <c r="V210" t="s">
        <v>46</v>
      </c>
      <c r="W210" t="s">
        <v>68</v>
      </c>
      <c r="X210" t="s">
        <v>47</v>
      </c>
      <c r="Y210" t="s">
        <v>33</v>
      </c>
      <c r="Z210">
        <v>3.8</v>
      </c>
      <c r="AA210">
        <f t="shared" si="9"/>
        <v>8</v>
      </c>
      <c r="AB210" t="str">
        <f t="shared" si="10"/>
        <v>Yes</v>
      </c>
      <c r="AC210" t="str">
        <f t="shared" si="11"/>
        <v>Needs Improvement</v>
      </c>
    </row>
    <row r="211" spans="1:29" x14ac:dyDescent="0.3">
      <c r="A211" t="s">
        <v>332</v>
      </c>
      <c r="B211" s="1">
        <v>46105</v>
      </c>
      <c r="C211" s="1">
        <v>46105</v>
      </c>
      <c r="D211" s="1">
        <v>46108</v>
      </c>
      <c r="E211" t="s">
        <v>40</v>
      </c>
      <c r="F211" t="s">
        <v>41</v>
      </c>
      <c r="G211" t="s">
        <v>42</v>
      </c>
      <c r="H211">
        <v>1104</v>
      </c>
      <c r="I211" t="s">
        <v>60</v>
      </c>
      <c r="J211">
        <v>7</v>
      </c>
      <c r="K211">
        <v>12144</v>
      </c>
      <c r="L211">
        <v>8</v>
      </c>
      <c r="M211" t="s">
        <v>190</v>
      </c>
      <c r="N211">
        <v>9</v>
      </c>
      <c r="O211">
        <v>4.7</v>
      </c>
      <c r="P211" t="s">
        <v>32</v>
      </c>
      <c r="Q211" t="s">
        <v>33</v>
      </c>
      <c r="R211" t="s">
        <v>67</v>
      </c>
      <c r="S211">
        <v>2</v>
      </c>
      <c r="T211">
        <v>3</v>
      </c>
      <c r="U211">
        <v>1</v>
      </c>
      <c r="V211" t="s">
        <v>46</v>
      </c>
      <c r="W211" t="s">
        <v>55</v>
      </c>
      <c r="X211" t="s">
        <v>76</v>
      </c>
      <c r="Y211" t="s">
        <v>62</v>
      </c>
      <c r="Z211">
        <v>3.3</v>
      </c>
      <c r="AA211">
        <f t="shared" si="9"/>
        <v>11</v>
      </c>
      <c r="AB211" t="str">
        <f t="shared" si="10"/>
        <v>Yes</v>
      </c>
      <c r="AC211" t="str">
        <f t="shared" si="11"/>
        <v>Needs Improvement</v>
      </c>
    </row>
    <row r="212" spans="1:29" x14ac:dyDescent="0.3">
      <c r="A212" t="s">
        <v>333</v>
      </c>
      <c r="B212" s="1">
        <v>46131</v>
      </c>
      <c r="C212" s="1">
        <v>46133</v>
      </c>
      <c r="D212" s="1">
        <v>46137</v>
      </c>
      <c r="E212" t="s">
        <v>27</v>
      </c>
      <c r="F212" t="s">
        <v>28</v>
      </c>
      <c r="G212" t="s">
        <v>29</v>
      </c>
      <c r="H212">
        <v>555</v>
      </c>
      <c r="I212" t="s">
        <v>60</v>
      </c>
      <c r="J212">
        <v>4</v>
      </c>
      <c r="K212">
        <v>6660</v>
      </c>
      <c r="L212">
        <v>5</v>
      </c>
      <c r="M212" t="s">
        <v>125</v>
      </c>
      <c r="N212">
        <v>1</v>
      </c>
      <c r="O212">
        <v>3.9</v>
      </c>
      <c r="P212" t="s">
        <v>66</v>
      </c>
      <c r="Q212" t="s">
        <v>33</v>
      </c>
      <c r="R212" t="s">
        <v>67</v>
      </c>
      <c r="S212">
        <v>1</v>
      </c>
      <c r="T212">
        <v>4</v>
      </c>
      <c r="U212">
        <v>3</v>
      </c>
      <c r="V212" t="s">
        <v>46</v>
      </c>
      <c r="W212" t="s">
        <v>55</v>
      </c>
      <c r="X212" t="s">
        <v>95</v>
      </c>
      <c r="Y212" t="s">
        <v>33</v>
      </c>
      <c r="Z212">
        <v>4.8</v>
      </c>
      <c r="AA212">
        <f t="shared" si="9"/>
        <v>12</v>
      </c>
      <c r="AB212" t="str">
        <f t="shared" si="10"/>
        <v>Yes</v>
      </c>
      <c r="AC212" t="str">
        <f t="shared" si="11"/>
        <v>Needs Improvement</v>
      </c>
    </row>
    <row r="213" spans="1:29" x14ac:dyDescent="0.3">
      <c r="A213" t="s">
        <v>334</v>
      </c>
      <c r="B213" s="1">
        <v>46110</v>
      </c>
      <c r="C213" s="1">
        <v>46110</v>
      </c>
      <c r="D213" s="1">
        <v>46112</v>
      </c>
      <c r="E213" t="s">
        <v>40</v>
      </c>
      <c r="F213" t="s">
        <v>41</v>
      </c>
      <c r="G213" t="s">
        <v>42</v>
      </c>
      <c r="H213">
        <v>962</v>
      </c>
      <c r="I213" t="s">
        <v>43</v>
      </c>
      <c r="J213">
        <v>10</v>
      </c>
      <c r="K213">
        <v>8658</v>
      </c>
      <c r="L213">
        <v>6</v>
      </c>
      <c r="M213" t="s">
        <v>116</v>
      </c>
      <c r="N213">
        <v>10</v>
      </c>
      <c r="O213">
        <v>4.0999999999999996</v>
      </c>
      <c r="P213" t="s">
        <v>66</v>
      </c>
      <c r="Q213" t="s">
        <v>38</v>
      </c>
      <c r="R213" t="s">
        <v>34</v>
      </c>
      <c r="S213">
        <v>2</v>
      </c>
      <c r="T213">
        <v>2</v>
      </c>
      <c r="U213">
        <v>0</v>
      </c>
      <c r="V213" t="s">
        <v>35</v>
      </c>
      <c r="W213" t="s">
        <v>68</v>
      </c>
      <c r="X213" t="s">
        <v>63</v>
      </c>
      <c r="Y213" t="s">
        <v>62</v>
      </c>
      <c r="Z213">
        <v>3.1</v>
      </c>
      <c r="AA213">
        <f t="shared" si="9"/>
        <v>9</v>
      </c>
      <c r="AB213" t="str">
        <f t="shared" si="10"/>
        <v>No</v>
      </c>
      <c r="AC213" t="str">
        <f t="shared" si="11"/>
        <v>Efficient</v>
      </c>
    </row>
    <row r="214" spans="1:29" x14ac:dyDescent="0.3">
      <c r="A214" t="s">
        <v>335</v>
      </c>
      <c r="B214" s="1">
        <v>46132</v>
      </c>
      <c r="C214" s="1">
        <v>46134</v>
      </c>
      <c r="D214" s="1">
        <v>46135</v>
      </c>
      <c r="E214" t="s">
        <v>40</v>
      </c>
      <c r="F214" t="s">
        <v>41</v>
      </c>
      <c r="G214" t="s">
        <v>42</v>
      </c>
      <c r="H214">
        <v>653</v>
      </c>
      <c r="I214" t="s">
        <v>60</v>
      </c>
      <c r="J214">
        <v>4</v>
      </c>
      <c r="K214">
        <v>5224</v>
      </c>
      <c r="L214">
        <v>10</v>
      </c>
      <c r="M214" t="s">
        <v>114</v>
      </c>
      <c r="N214">
        <v>9</v>
      </c>
      <c r="O214">
        <v>3</v>
      </c>
      <c r="P214" t="s">
        <v>32</v>
      </c>
      <c r="Q214" t="s">
        <v>62</v>
      </c>
      <c r="R214" t="s">
        <v>67</v>
      </c>
      <c r="S214">
        <v>1</v>
      </c>
      <c r="T214">
        <v>1</v>
      </c>
      <c r="U214">
        <v>0</v>
      </c>
      <c r="V214" t="s">
        <v>35</v>
      </c>
      <c r="W214" t="s">
        <v>55</v>
      </c>
      <c r="X214" t="s">
        <v>63</v>
      </c>
      <c r="Y214" t="s">
        <v>38</v>
      </c>
      <c r="Z214">
        <v>3.5</v>
      </c>
      <c r="AA214">
        <f t="shared" si="9"/>
        <v>8</v>
      </c>
      <c r="AB214" t="str">
        <f t="shared" si="10"/>
        <v>No</v>
      </c>
      <c r="AC214" t="str">
        <f t="shared" si="11"/>
        <v>Efficient</v>
      </c>
    </row>
    <row r="215" spans="1:29" x14ac:dyDescent="0.3">
      <c r="A215" t="s">
        <v>336</v>
      </c>
      <c r="B215" s="1">
        <v>46126</v>
      </c>
      <c r="C215" s="1">
        <v>46127</v>
      </c>
      <c r="D215" s="1">
        <v>46131</v>
      </c>
      <c r="E215" t="s">
        <v>57</v>
      </c>
      <c r="F215" t="s">
        <v>58</v>
      </c>
      <c r="G215" t="s">
        <v>59</v>
      </c>
      <c r="H215">
        <v>1067</v>
      </c>
      <c r="I215" t="s">
        <v>43</v>
      </c>
      <c r="J215">
        <v>6</v>
      </c>
      <c r="K215">
        <v>9603</v>
      </c>
      <c r="L215">
        <v>7</v>
      </c>
      <c r="M215" t="s">
        <v>90</v>
      </c>
      <c r="N215">
        <v>8</v>
      </c>
      <c r="O215">
        <v>3.6</v>
      </c>
      <c r="P215" t="s">
        <v>53</v>
      </c>
      <c r="Q215" t="s">
        <v>33</v>
      </c>
      <c r="R215" t="s">
        <v>67</v>
      </c>
      <c r="S215">
        <v>2</v>
      </c>
      <c r="T215">
        <v>4</v>
      </c>
      <c r="U215">
        <v>2</v>
      </c>
      <c r="V215" t="s">
        <v>46</v>
      </c>
      <c r="W215" t="s">
        <v>55</v>
      </c>
      <c r="X215" t="s">
        <v>76</v>
      </c>
      <c r="Y215" t="s">
        <v>33</v>
      </c>
      <c r="Z215">
        <v>3.6</v>
      </c>
      <c r="AA215">
        <f t="shared" si="9"/>
        <v>9</v>
      </c>
      <c r="AB215" t="str">
        <f t="shared" si="10"/>
        <v>Yes</v>
      </c>
      <c r="AC215" t="str">
        <f t="shared" si="11"/>
        <v>Needs Improvement</v>
      </c>
    </row>
    <row r="216" spans="1:29" x14ac:dyDescent="0.3">
      <c r="A216" t="s">
        <v>337</v>
      </c>
      <c r="B216" s="1">
        <v>46110</v>
      </c>
      <c r="C216" s="1">
        <v>46110</v>
      </c>
      <c r="D216" s="1">
        <v>46112</v>
      </c>
      <c r="E216" t="s">
        <v>92</v>
      </c>
      <c r="F216" t="s">
        <v>93</v>
      </c>
      <c r="G216" t="s">
        <v>94</v>
      </c>
      <c r="H216">
        <v>330</v>
      </c>
      <c r="I216" t="s">
        <v>30</v>
      </c>
      <c r="J216">
        <v>5</v>
      </c>
      <c r="K216">
        <v>3630</v>
      </c>
      <c r="L216">
        <v>7</v>
      </c>
      <c r="M216" t="s">
        <v>44</v>
      </c>
      <c r="N216">
        <v>5</v>
      </c>
      <c r="O216">
        <v>4.3</v>
      </c>
      <c r="P216" t="s">
        <v>66</v>
      </c>
      <c r="Q216" t="s">
        <v>38</v>
      </c>
      <c r="R216" t="s">
        <v>67</v>
      </c>
      <c r="S216">
        <v>1</v>
      </c>
      <c r="T216">
        <v>2</v>
      </c>
      <c r="U216">
        <v>1</v>
      </c>
      <c r="V216" t="s">
        <v>46</v>
      </c>
      <c r="W216" t="s">
        <v>36</v>
      </c>
      <c r="X216" t="s">
        <v>76</v>
      </c>
      <c r="Y216" t="s">
        <v>62</v>
      </c>
      <c r="Z216">
        <v>4.3</v>
      </c>
      <c r="AA216">
        <f t="shared" si="9"/>
        <v>11</v>
      </c>
      <c r="AB216" t="str">
        <f t="shared" si="10"/>
        <v>Yes</v>
      </c>
      <c r="AC216" t="str">
        <f t="shared" si="11"/>
        <v>Needs Improvement</v>
      </c>
    </row>
    <row r="217" spans="1:29" x14ac:dyDescent="0.3">
      <c r="A217" t="s">
        <v>338</v>
      </c>
      <c r="B217" s="1">
        <v>46110</v>
      </c>
      <c r="C217" s="1">
        <v>46110</v>
      </c>
      <c r="D217" s="1">
        <v>46114</v>
      </c>
      <c r="E217" t="s">
        <v>27</v>
      </c>
      <c r="F217" t="s">
        <v>28</v>
      </c>
      <c r="G217" t="s">
        <v>29</v>
      </c>
      <c r="H217">
        <v>1542</v>
      </c>
      <c r="I217" t="s">
        <v>43</v>
      </c>
      <c r="J217">
        <v>5</v>
      </c>
      <c r="K217">
        <v>12336</v>
      </c>
      <c r="L217">
        <v>8</v>
      </c>
      <c r="M217" t="s">
        <v>205</v>
      </c>
      <c r="N217">
        <v>7</v>
      </c>
      <c r="O217">
        <v>4.5</v>
      </c>
      <c r="P217" t="s">
        <v>45</v>
      </c>
      <c r="Q217" t="s">
        <v>62</v>
      </c>
      <c r="R217" t="s">
        <v>54</v>
      </c>
      <c r="S217">
        <v>3</v>
      </c>
      <c r="T217">
        <v>4</v>
      </c>
      <c r="U217">
        <v>1</v>
      </c>
      <c r="V217" t="s">
        <v>46</v>
      </c>
      <c r="W217" t="s">
        <v>55</v>
      </c>
      <c r="X217" t="s">
        <v>76</v>
      </c>
      <c r="Y217" t="s">
        <v>33</v>
      </c>
      <c r="Z217">
        <v>4.5999999999999996</v>
      </c>
      <c r="AA217">
        <f t="shared" si="9"/>
        <v>8</v>
      </c>
      <c r="AB217" t="str">
        <f t="shared" si="10"/>
        <v>Yes</v>
      </c>
      <c r="AC217" t="str">
        <f t="shared" si="11"/>
        <v>Needs Improvement</v>
      </c>
    </row>
    <row r="218" spans="1:29" x14ac:dyDescent="0.3">
      <c r="A218" t="s">
        <v>339</v>
      </c>
      <c r="B218" s="1">
        <v>46139</v>
      </c>
      <c r="C218" s="1">
        <v>46141</v>
      </c>
      <c r="D218" s="1">
        <v>46144</v>
      </c>
      <c r="E218" t="s">
        <v>49</v>
      </c>
      <c r="F218" t="s">
        <v>50</v>
      </c>
      <c r="G218" t="s">
        <v>51</v>
      </c>
      <c r="H218">
        <v>1238</v>
      </c>
      <c r="I218" t="s">
        <v>30</v>
      </c>
      <c r="J218">
        <v>3</v>
      </c>
      <c r="K218">
        <v>14856</v>
      </c>
      <c r="L218">
        <v>10</v>
      </c>
      <c r="M218" t="s">
        <v>88</v>
      </c>
      <c r="N218">
        <v>3</v>
      </c>
      <c r="O218">
        <v>3.6</v>
      </c>
      <c r="P218" t="s">
        <v>53</v>
      </c>
      <c r="Q218" t="s">
        <v>38</v>
      </c>
      <c r="R218" t="s">
        <v>54</v>
      </c>
      <c r="S218">
        <v>2</v>
      </c>
      <c r="T218">
        <v>3</v>
      </c>
      <c r="U218">
        <v>1</v>
      </c>
      <c r="V218" t="s">
        <v>46</v>
      </c>
      <c r="W218" t="s">
        <v>55</v>
      </c>
      <c r="X218" t="s">
        <v>47</v>
      </c>
      <c r="Y218" t="s">
        <v>33</v>
      </c>
      <c r="Z218">
        <v>3.2</v>
      </c>
      <c r="AA218">
        <f t="shared" si="9"/>
        <v>12</v>
      </c>
      <c r="AB218" t="str">
        <f t="shared" si="10"/>
        <v>Yes</v>
      </c>
      <c r="AC218" t="str">
        <f t="shared" si="11"/>
        <v>Needs Improvement</v>
      </c>
    </row>
    <row r="219" spans="1:29" x14ac:dyDescent="0.3">
      <c r="A219" t="s">
        <v>340</v>
      </c>
      <c r="B219" s="1">
        <v>46068</v>
      </c>
      <c r="C219" s="1">
        <v>46068</v>
      </c>
      <c r="D219" s="1">
        <v>46074</v>
      </c>
      <c r="E219" t="s">
        <v>57</v>
      </c>
      <c r="F219" t="s">
        <v>58</v>
      </c>
      <c r="G219" t="s">
        <v>59</v>
      </c>
      <c r="H219">
        <v>1061</v>
      </c>
      <c r="I219" t="s">
        <v>30</v>
      </c>
      <c r="J219">
        <v>6</v>
      </c>
      <c r="K219">
        <v>8488</v>
      </c>
      <c r="L219">
        <v>9</v>
      </c>
      <c r="M219" t="s">
        <v>99</v>
      </c>
      <c r="N219">
        <v>8</v>
      </c>
      <c r="O219">
        <v>4.7</v>
      </c>
      <c r="P219" t="s">
        <v>53</v>
      </c>
      <c r="Q219" t="s">
        <v>38</v>
      </c>
      <c r="R219" t="s">
        <v>54</v>
      </c>
      <c r="S219">
        <v>2</v>
      </c>
      <c r="T219">
        <v>6</v>
      </c>
      <c r="U219">
        <v>4</v>
      </c>
      <c r="V219" t="s">
        <v>46</v>
      </c>
      <c r="W219" t="s">
        <v>55</v>
      </c>
      <c r="X219" t="s">
        <v>63</v>
      </c>
      <c r="Y219" t="s">
        <v>62</v>
      </c>
      <c r="Z219">
        <v>4.8</v>
      </c>
      <c r="AA219">
        <f t="shared" si="9"/>
        <v>8</v>
      </c>
      <c r="AB219" t="str">
        <f t="shared" si="10"/>
        <v>Yes</v>
      </c>
      <c r="AC219" t="str">
        <f t="shared" si="11"/>
        <v>Needs Improvement</v>
      </c>
    </row>
    <row r="220" spans="1:29" x14ac:dyDescent="0.3">
      <c r="A220" t="s">
        <v>341</v>
      </c>
      <c r="B220" s="1">
        <v>46087</v>
      </c>
      <c r="C220" s="1">
        <v>46087</v>
      </c>
      <c r="D220" s="1">
        <v>46090</v>
      </c>
      <c r="E220" t="s">
        <v>111</v>
      </c>
      <c r="F220" t="s">
        <v>27</v>
      </c>
      <c r="G220" t="s">
        <v>112</v>
      </c>
      <c r="H220">
        <v>1285</v>
      </c>
      <c r="I220" t="s">
        <v>30</v>
      </c>
      <c r="J220">
        <v>7</v>
      </c>
      <c r="K220">
        <v>7710</v>
      </c>
      <c r="L220">
        <v>6</v>
      </c>
      <c r="M220" t="s">
        <v>147</v>
      </c>
      <c r="N220">
        <v>4</v>
      </c>
      <c r="O220">
        <v>3.7</v>
      </c>
      <c r="P220" t="s">
        <v>53</v>
      </c>
      <c r="Q220" t="s">
        <v>38</v>
      </c>
      <c r="R220" t="s">
        <v>34</v>
      </c>
      <c r="S220">
        <v>2</v>
      </c>
      <c r="T220">
        <v>3</v>
      </c>
      <c r="U220">
        <v>1</v>
      </c>
      <c r="V220" t="s">
        <v>46</v>
      </c>
      <c r="W220" t="s">
        <v>36</v>
      </c>
      <c r="X220" t="s">
        <v>95</v>
      </c>
      <c r="Y220" t="s">
        <v>62</v>
      </c>
      <c r="Z220">
        <v>4.3</v>
      </c>
      <c r="AA220">
        <f t="shared" si="9"/>
        <v>6</v>
      </c>
      <c r="AB220" t="str">
        <f t="shared" si="10"/>
        <v>Yes</v>
      </c>
      <c r="AC220" t="str">
        <f t="shared" si="11"/>
        <v>Needs Improvement</v>
      </c>
    </row>
    <row r="221" spans="1:29" x14ac:dyDescent="0.3">
      <c r="A221" t="s">
        <v>342</v>
      </c>
      <c r="B221" s="1">
        <v>46045</v>
      </c>
      <c r="C221" s="1">
        <v>46046</v>
      </c>
      <c r="D221" s="1">
        <v>46048</v>
      </c>
      <c r="E221" t="s">
        <v>27</v>
      </c>
      <c r="F221" t="s">
        <v>28</v>
      </c>
      <c r="G221" t="s">
        <v>29</v>
      </c>
      <c r="H221">
        <v>209</v>
      </c>
      <c r="I221" t="s">
        <v>43</v>
      </c>
      <c r="J221">
        <v>5</v>
      </c>
      <c r="K221">
        <v>1463</v>
      </c>
      <c r="L221">
        <v>6</v>
      </c>
      <c r="M221" t="s">
        <v>105</v>
      </c>
      <c r="N221">
        <v>13</v>
      </c>
      <c r="O221">
        <v>3.3</v>
      </c>
      <c r="P221" t="s">
        <v>32</v>
      </c>
      <c r="Q221" t="s">
        <v>38</v>
      </c>
      <c r="R221" t="s">
        <v>54</v>
      </c>
      <c r="S221">
        <v>1</v>
      </c>
      <c r="T221">
        <v>2</v>
      </c>
      <c r="U221">
        <v>1</v>
      </c>
      <c r="V221" t="s">
        <v>46</v>
      </c>
      <c r="W221" t="s">
        <v>55</v>
      </c>
      <c r="X221" t="s">
        <v>95</v>
      </c>
      <c r="Y221" t="s">
        <v>62</v>
      </c>
      <c r="Z221">
        <v>3.9</v>
      </c>
      <c r="AA221">
        <f t="shared" si="9"/>
        <v>7</v>
      </c>
      <c r="AB221" t="str">
        <f t="shared" si="10"/>
        <v>Yes</v>
      </c>
      <c r="AC221" t="str">
        <f t="shared" si="11"/>
        <v>Needs Improvement</v>
      </c>
    </row>
    <row r="222" spans="1:29" x14ac:dyDescent="0.3">
      <c r="A222" t="s">
        <v>343</v>
      </c>
      <c r="B222" s="1">
        <v>46084</v>
      </c>
      <c r="C222" s="1">
        <v>46085</v>
      </c>
      <c r="D222" s="1">
        <v>46086</v>
      </c>
      <c r="E222" t="s">
        <v>27</v>
      </c>
      <c r="F222" t="s">
        <v>28</v>
      </c>
      <c r="G222" t="s">
        <v>29</v>
      </c>
      <c r="H222">
        <v>277</v>
      </c>
      <c r="I222" t="s">
        <v>60</v>
      </c>
      <c r="J222">
        <v>6</v>
      </c>
      <c r="K222">
        <v>1662</v>
      </c>
      <c r="L222">
        <v>7</v>
      </c>
      <c r="M222" t="s">
        <v>190</v>
      </c>
      <c r="N222">
        <v>14</v>
      </c>
      <c r="O222">
        <v>4.0999999999999996</v>
      </c>
      <c r="P222" t="s">
        <v>32</v>
      </c>
      <c r="Q222" t="s">
        <v>33</v>
      </c>
      <c r="R222" t="s">
        <v>67</v>
      </c>
      <c r="S222">
        <v>1</v>
      </c>
      <c r="T222">
        <v>1</v>
      </c>
      <c r="U222">
        <v>0</v>
      </c>
      <c r="V222" t="s">
        <v>35</v>
      </c>
      <c r="W222" t="s">
        <v>55</v>
      </c>
      <c r="X222" t="s">
        <v>47</v>
      </c>
      <c r="Y222" t="s">
        <v>62</v>
      </c>
      <c r="Z222">
        <v>3.3</v>
      </c>
      <c r="AA222">
        <f t="shared" si="9"/>
        <v>6</v>
      </c>
      <c r="AB222" t="str">
        <f t="shared" si="10"/>
        <v>No</v>
      </c>
      <c r="AC222" t="str">
        <f t="shared" si="11"/>
        <v>Efficient</v>
      </c>
    </row>
    <row r="223" spans="1:29" x14ac:dyDescent="0.3">
      <c r="A223" t="s">
        <v>344</v>
      </c>
      <c r="B223" s="1">
        <v>46072</v>
      </c>
      <c r="C223" s="1">
        <v>46074</v>
      </c>
      <c r="D223" s="1">
        <v>46076</v>
      </c>
      <c r="E223" t="s">
        <v>57</v>
      </c>
      <c r="F223" t="s">
        <v>58</v>
      </c>
      <c r="G223" t="s">
        <v>59</v>
      </c>
      <c r="H223">
        <v>542</v>
      </c>
      <c r="I223" t="s">
        <v>87</v>
      </c>
      <c r="J223">
        <v>1</v>
      </c>
      <c r="K223">
        <v>4336</v>
      </c>
      <c r="L223">
        <v>7</v>
      </c>
      <c r="M223" t="s">
        <v>61</v>
      </c>
      <c r="N223">
        <v>12</v>
      </c>
      <c r="O223">
        <v>4</v>
      </c>
      <c r="P223" t="s">
        <v>66</v>
      </c>
      <c r="Q223" t="s">
        <v>62</v>
      </c>
      <c r="R223" t="s">
        <v>54</v>
      </c>
      <c r="S223">
        <v>1</v>
      </c>
      <c r="T223">
        <v>2</v>
      </c>
      <c r="U223">
        <v>1</v>
      </c>
      <c r="V223" t="s">
        <v>46</v>
      </c>
      <c r="W223" t="s">
        <v>68</v>
      </c>
      <c r="X223" t="s">
        <v>47</v>
      </c>
      <c r="Y223" t="s">
        <v>38</v>
      </c>
      <c r="Z223">
        <v>3.3</v>
      </c>
      <c r="AA223">
        <f t="shared" si="9"/>
        <v>8</v>
      </c>
      <c r="AB223" t="str">
        <f t="shared" si="10"/>
        <v>Yes</v>
      </c>
      <c r="AC223" t="str">
        <f t="shared" si="11"/>
        <v>Needs Improvement</v>
      </c>
    </row>
    <row r="224" spans="1:29" x14ac:dyDescent="0.3">
      <c r="A224" t="s">
        <v>345</v>
      </c>
      <c r="B224" s="1">
        <v>46139</v>
      </c>
      <c r="C224" s="1">
        <v>46140</v>
      </c>
      <c r="D224" s="1">
        <v>46143</v>
      </c>
      <c r="E224" t="s">
        <v>27</v>
      </c>
      <c r="F224" t="s">
        <v>28</v>
      </c>
      <c r="G224" t="s">
        <v>29</v>
      </c>
      <c r="H224">
        <v>667</v>
      </c>
      <c r="I224" t="s">
        <v>60</v>
      </c>
      <c r="J224">
        <v>3</v>
      </c>
      <c r="K224">
        <v>4669</v>
      </c>
      <c r="L224">
        <v>10</v>
      </c>
      <c r="M224" t="s">
        <v>135</v>
      </c>
      <c r="N224">
        <v>10</v>
      </c>
      <c r="O224">
        <v>4</v>
      </c>
      <c r="P224" t="s">
        <v>32</v>
      </c>
      <c r="Q224" t="s">
        <v>62</v>
      </c>
      <c r="R224" t="s">
        <v>54</v>
      </c>
      <c r="S224">
        <v>1</v>
      </c>
      <c r="T224">
        <v>3</v>
      </c>
      <c r="U224">
        <v>2</v>
      </c>
      <c r="V224" t="s">
        <v>46</v>
      </c>
      <c r="W224" t="s">
        <v>36</v>
      </c>
      <c r="X224" t="s">
        <v>95</v>
      </c>
      <c r="Y224" t="s">
        <v>33</v>
      </c>
      <c r="Z224">
        <v>3.5</v>
      </c>
      <c r="AA224">
        <f t="shared" si="9"/>
        <v>7</v>
      </c>
      <c r="AB224" t="str">
        <f t="shared" si="10"/>
        <v>Yes</v>
      </c>
      <c r="AC224" t="str">
        <f t="shared" si="11"/>
        <v>Needs Improvement</v>
      </c>
    </row>
    <row r="225" spans="1:29" x14ac:dyDescent="0.3">
      <c r="A225" t="s">
        <v>346</v>
      </c>
      <c r="B225" s="1">
        <v>46091</v>
      </c>
      <c r="C225" s="1">
        <v>46093</v>
      </c>
      <c r="D225" s="1">
        <v>46098</v>
      </c>
      <c r="E225" t="s">
        <v>27</v>
      </c>
      <c r="F225" t="s">
        <v>28</v>
      </c>
      <c r="G225" t="s">
        <v>29</v>
      </c>
      <c r="H225">
        <v>1416</v>
      </c>
      <c r="I225" t="s">
        <v>87</v>
      </c>
      <c r="J225">
        <v>2</v>
      </c>
      <c r="K225">
        <v>15576</v>
      </c>
      <c r="L225">
        <v>5</v>
      </c>
      <c r="M225" t="s">
        <v>208</v>
      </c>
      <c r="N225">
        <v>12</v>
      </c>
      <c r="O225">
        <v>3.2</v>
      </c>
      <c r="P225" t="s">
        <v>53</v>
      </c>
      <c r="Q225" t="s">
        <v>62</v>
      </c>
      <c r="R225" t="s">
        <v>67</v>
      </c>
      <c r="S225">
        <v>3</v>
      </c>
      <c r="T225">
        <v>5</v>
      </c>
      <c r="U225">
        <v>2</v>
      </c>
      <c r="V225" t="s">
        <v>46</v>
      </c>
      <c r="W225" t="s">
        <v>68</v>
      </c>
      <c r="X225" t="s">
        <v>37</v>
      </c>
      <c r="Y225" t="s">
        <v>38</v>
      </c>
      <c r="Z225">
        <v>4.4000000000000004</v>
      </c>
      <c r="AA225">
        <f t="shared" si="9"/>
        <v>11</v>
      </c>
      <c r="AB225" t="str">
        <f t="shared" si="10"/>
        <v>Yes</v>
      </c>
      <c r="AC225" t="str">
        <f t="shared" si="11"/>
        <v>Needs Improvement</v>
      </c>
    </row>
    <row r="226" spans="1:29" x14ac:dyDescent="0.3">
      <c r="A226" t="s">
        <v>347</v>
      </c>
      <c r="B226" s="1">
        <v>46103</v>
      </c>
      <c r="C226" s="1">
        <v>46103</v>
      </c>
      <c r="D226" s="1">
        <v>46107</v>
      </c>
      <c r="E226" t="s">
        <v>57</v>
      </c>
      <c r="F226" t="s">
        <v>58</v>
      </c>
      <c r="G226" t="s">
        <v>59</v>
      </c>
      <c r="H226">
        <v>1061</v>
      </c>
      <c r="I226" t="s">
        <v>87</v>
      </c>
      <c r="J226">
        <v>9</v>
      </c>
      <c r="K226">
        <v>8488</v>
      </c>
      <c r="L226">
        <v>9</v>
      </c>
      <c r="M226" t="s">
        <v>269</v>
      </c>
      <c r="N226">
        <v>12</v>
      </c>
      <c r="O226">
        <v>3.3</v>
      </c>
      <c r="P226" t="s">
        <v>32</v>
      </c>
      <c r="Q226" t="s">
        <v>33</v>
      </c>
      <c r="R226" t="s">
        <v>54</v>
      </c>
      <c r="S226">
        <v>2</v>
      </c>
      <c r="T226">
        <v>4</v>
      </c>
      <c r="U226">
        <v>2</v>
      </c>
      <c r="V226" t="s">
        <v>46</v>
      </c>
      <c r="W226" t="s">
        <v>36</v>
      </c>
      <c r="X226" t="s">
        <v>63</v>
      </c>
      <c r="Y226" t="s">
        <v>62</v>
      </c>
      <c r="Z226">
        <v>3.4</v>
      </c>
      <c r="AA226">
        <f t="shared" si="9"/>
        <v>8</v>
      </c>
      <c r="AB226" t="str">
        <f t="shared" si="10"/>
        <v>Yes</v>
      </c>
      <c r="AC226" t="str">
        <f t="shared" si="11"/>
        <v>Needs Improvement</v>
      </c>
    </row>
    <row r="227" spans="1:29" x14ac:dyDescent="0.3">
      <c r="A227" t="s">
        <v>348</v>
      </c>
      <c r="B227" s="1">
        <v>46048</v>
      </c>
      <c r="C227" s="1">
        <v>46049</v>
      </c>
      <c r="D227" s="1">
        <v>46051</v>
      </c>
      <c r="E227" t="s">
        <v>40</v>
      </c>
      <c r="F227" t="s">
        <v>41</v>
      </c>
      <c r="G227" t="s">
        <v>42</v>
      </c>
      <c r="H227">
        <v>933</v>
      </c>
      <c r="I227" t="s">
        <v>43</v>
      </c>
      <c r="J227">
        <v>5</v>
      </c>
      <c r="K227">
        <v>6531</v>
      </c>
      <c r="L227">
        <v>5</v>
      </c>
      <c r="M227" t="s">
        <v>88</v>
      </c>
      <c r="N227">
        <v>8</v>
      </c>
      <c r="O227">
        <v>4.8</v>
      </c>
      <c r="P227" t="s">
        <v>53</v>
      </c>
      <c r="Q227" t="s">
        <v>62</v>
      </c>
      <c r="R227" t="s">
        <v>67</v>
      </c>
      <c r="S227">
        <v>2</v>
      </c>
      <c r="T227">
        <v>2</v>
      </c>
      <c r="U227">
        <v>0</v>
      </c>
      <c r="V227" t="s">
        <v>35</v>
      </c>
      <c r="W227" t="s">
        <v>55</v>
      </c>
      <c r="X227" t="s">
        <v>63</v>
      </c>
      <c r="Y227" t="s">
        <v>38</v>
      </c>
      <c r="Z227">
        <v>4.7</v>
      </c>
      <c r="AA227">
        <f t="shared" si="9"/>
        <v>7</v>
      </c>
      <c r="AB227" t="str">
        <f t="shared" si="10"/>
        <v>No</v>
      </c>
      <c r="AC227" t="str">
        <f t="shared" si="11"/>
        <v>Efficient</v>
      </c>
    </row>
    <row r="228" spans="1:29" x14ac:dyDescent="0.3">
      <c r="A228" t="s">
        <v>349</v>
      </c>
      <c r="B228" s="1">
        <v>46108</v>
      </c>
      <c r="C228" s="1">
        <v>46109</v>
      </c>
      <c r="D228" s="1">
        <v>46110</v>
      </c>
      <c r="E228" t="s">
        <v>82</v>
      </c>
      <c r="F228" t="s">
        <v>83</v>
      </c>
      <c r="G228" t="s">
        <v>84</v>
      </c>
      <c r="H228">
        <v>384</v>
      </c>
      <c r="I228" t="s">
        <v>87</v>
      </c>
      <c r="J228">
        <v>2</v>
      </c>
      <c r="K228">
        <v>3072</v>
      </c>
      <c r="L228">
        <v>10</v>
      </c>
      <c r="M228" t="s">
        <v>239</v>
      </c>
      <c r="N228">
        <v>8</v>
      </c>
      <c r="O228">
        <v>5</v>
      </c>
      <c r="P228" t="s">
        <v>66</v>
      </c>
      <c r="Q228" t="s">
        <v>62</v>
      </c>
      <c r="R228" t="s">
        <v>34</v>
      </c>
      <c r="S228">
        <v>1</v>
      </c>
      <c r="T228">
        <v>1</v>
      </c>
      <c r="U228">
        <v>0</v>
      </c>
      <c r="V228" t="s">
        <v>35</v>
      </c>
      <c r="W228" t="s">
        <v>36</v>
      </c>
      <c r="X228" t="s">
        <v>63</v>
      </c>
      <c r="Y228" t="s">
        <v>62</v>
      </c>
      <c r="Z228">
        <v>3.7</v>
      </c>
      <c r="AA228">
        <f t="shared" si="9"/>
        <v>8</v>
      </c>
      <c r="AB228" t="str">
        <f t="shared" si="10"/>
        <v>No</v>
      </c>
      <c r="AC228" t="str">
        <f t="shared" si="11"/>
        <v>Efficient</v>
      </c>
    </row>
    <row r="229" spans="1:29" x14ac:dyDescent="0.3">
      <c r="A229" t="s">
        <v>350</v>
      </c>
      <c r="B229" s="1">
        <v>46109</v>
      </c>
      <c r="C229" s="1">
        <v>46110</v>
      </c>
      <c r="D229" s="1">
        <v>46115</v>
      </c>
      <c r="E229" t="s">
        <v>111</v>
      </c>
      <c r="F229" t="s">
        <v>27</v>
      </c>
      <c r="G229" t="s">
        <v>112</v>
      </c>
      <c r="H229">
        <v>1712</v>
      </c>
      <c r="I229" t="s">
        <v>87</v>
      </c>
      <c r="J229">
        <v>2</v>
      </c>
      <c r="K229">
        <v>20544</v>
      </c>
      <c r="L229">
        <v>5</v>
      </c>
      <c r="M229" t="s">
        <v>158</v>
      </c>
      <c r="N229">
        <v>14</v>
      </c>
      <c r="O229">
        <v>3.3</v>
      </c>
      <c r="P229" t="s">
        <v>45</v>
      </c>
      <c r="Q229" t="s">
        <v>62</v>
      </c>
      <c r="R229" t="s">
        <v>34</v>
      </c>
      <c r="S229">
        <v>3</v>
      </c>
      <c r="T229">
        <v>5</v>
      </c>
      <c r="U229">
        <v>2</v>
      </c>
      <c r="V229" t="s">
        <v>46</v>
      </c>
      <c r="W229" t="s">
        <v>68</v>
      </c>
      <c r="X229" t="s">
        <v>63</v>
      </c>
      <c r="Y229" t="s">
        <v>62</v>
      </c>
      <c r="Z229">
        <v>4.5999999999999996</v>
      </c>
      <c r="AA229">
        <f t="shared" si="9"/>
        <v>12</v>
      </c>
      <c r="AB229" t="str">
        <f t="shared" si="10"/>
        <v>Yes</v>
      </c>
      <c r="AC229" t="str">
        <f t="shared" si="11"/>
        <v>Needs Improvement</v>
      </c>
    </row>
    <row r="230" spans="1:29" x14ac:dyDescent="0.3">
      <c r="A230" t="s">
        <v>351</v>
      </c>
      <c r="B230" s="1">
        <v>46046</v>
      </c>
      <c r="C230" s="1">
        <v>46046</v>
      </c>
      <c r="D230" s="1">
        <v>46050</v>
      </c>
      <c r="E230" t="s">
        <v>111</v>
      </c>
      <c r="F230" t="s">
        <v>27</v>
      </c>
      <c r="G230" t="s">
        <v>112</v>
      </c>
      <c r="H230">
        <v>1019</v>
      </c>
      <c r="I230" t="s">
        <v>43</v>
      </c>
      <c r="J230">
        <v>5</v>
      </c>
      <c r="K230">
        <v>12228</v>
      </c>
      <c r="L230">
        <v>8</v>
      </c>
      <c r="M230" t="s">
        <v>65</v>
      </c>
      <c r="N230">
        <v>14</v>
      </c>
      <c r="O230">
        <v>4</v>
      </c>
      <c r="P230" t="s">
        <v>53</v>
      </c>
      <c r="Q230" t="s">
        <v>33</v>
      </c>
      <c r="R230" t="s">
        <v>67</v>
      </c>
      <c r="S230">
        <v>2</v>
      </c>
      <c r="T230">
        <v>4</v>
      </c>
      <c r="U230">
        <v>2</v>
      </c>
      <c r="V230" t="s">
        <v>46</v>
      </c>
      <c r="W230" t="s">
        <v>55</v>
      </c>
      <c r="X230" t="s">
        <v>63</v>
      </c>
      <c r="Y230" t="s">
        <v>38</v>
      </c>
      <c r="Z230">
        <v>3.2</v>
      </c>
      <c r="AA230">
        <f t="shared" si="9"/>
        <v>12</v>
      </c>
      <c r="AB230" t="str">
        <f t="shared" si="10"/>
        <v>Yes</v>
      </c>
      <c r="AC230" t="str">
        <f t="shared" si="11"/>
        <v>Needs Improvement</v>
      </c>
    </row>
    <row r="231" spans="1:29" x14ac:dyDescent="0.3">
      <c r="A231" t="s">
        <v>352</v>
      </c>
      <c r="B231" s="1">
        <v>46139</v>
      </c>
      <c r="C231" s="1">
        <v>46141</v>
      </c>
      <c r="D231" s="1">
        <v>46145</v>
      </c>
      <c r="E231" t="s">
        <v>92</v>
      </c>
      <c r="F231" t="s">
        <v>93</v>
      </c>
      <c r="G231" t="s">
        <v>94</v>
      </c>
      <c r="H231">
        <v>1365</v>
      </c>
      <c r="I231" t="s">
        <v>43</v>
      </c>
      <c r="J231">
        <v>3</v>
      </c>
      <c r="K231">
        <v>13650</v>
      </c>
      <c r="L231">
        <v>8</v>
      </c>
      <c r="M231" t="s">
        <v>170</v>
      </c>
      <c r="N231">
        <v>6</v>
      </c>
      <c r="O231">
        <v>4.2</v>
      </c>
      <c r="P231" t="s">
        <v>45</v>
      </c>
      <c r="Q231" t="s">
        <v>62</v>
      </c>
      <c r="R231" t="s">
        <v>34</v>
      </c>
      <c r="S231">
        <v>3</v>
      </c>
      <c r="T231">
        <v>4</v>
      </c>
      <c r="U231">
        <v>1</v>
      </c>
      <c r="V231" t="s">
        <v>46</v>
      </c>
      <c r="W231" t="s">
        <v>68</v>
      </c>
      <c r="X231" t="s">
        <v>63</v>
      </c>
      <c r="Y231" t="s">
        <v>38</v>
      </c>
      <c r="Z231">
        <v>3.5</v>
      </c>
      <c r="AA231">
        <f t="shared" si="9"/>
        <v>10</v>
      </c>
      <c r="AB231" t="str">
        <f t="shared" si="10"/>
        <v>Yes</v>
      </c>
      <c r="AC231" t="str">
        <f t="shared" si="11"/>
        <v>Needs Improvement</v>
      </c>
    </row>
    <row r="232" spans="1:29" x14ac:dyDescent="0.3">
      <c r="A232" t="s">
        <v>353</v>
      </c>
      <c r="B232" s="1">
        <v>46063</v>
      </c>
      <c r="C232" s="1">
        <v>46063</v>
      </c>
      <c r="D232" s="1">
        <v>46069</v>
      </c>
      <c r="E232" t="s">
        <v>40</v>
      </c>
      <c r="F232" t="s">
        <v>41</v>
      </c>
      <c r="G232" t="s">
        <v>42</v>
      </c>
      <c r="H232">
        <v>1571</v>
      </c>
      <c r="I232" t="s">
        <v>30</v>
      </c>
      <c r="J232">
        <v>9</v>
      </c>
      <c r="K232">
        <v>15710</v>
      </c>
      <c r="L232">
        <v>10</v>
      </c>
      <c r="M232" t="s">
        <v>65</v>
      </c>
      <c r="N232">
        <v>10</v>
      </c>
      <c r="O232">
        <v>3.2</v>
      </c>
      <c r="P232" t="s">
        <v>45</v>
      </c>
      <c r="Q232" t="s">
        <v>62</v>
      </c>
      <c r="R232" t="s">
        <v>34</v>
      </c>
      <c r="S232">
        <v>3</v>
      </c>
      <c r="T232">
        <v>6</v>
      </c>
      <c r="U232">
        <v>3</v>
      </c>
      <c r="V232" t="s">
        <v>46</v>
      </c>
      <c r="W232" t="s">
        <v>36</v>
      </c>
      <c r="X232" t="s">
        <v>76</v>
      </c>
      <c r="Y232" t="s">
        <v>33</v>
      </c>
      <c r="Z232">
        <v>3.1</v>
      </c>
      <c r="AA232">
        <f t="shared" si="9"/>
        <v>10</v>
      </c>
      <c r="AB232" t="str">
        <f t="shared" si="10"/>
        <v>Yes</v>
      </c>
      <c r="AC232" t="str">
        <f t="shared" si="11"/>
        <v>Needs Improvement</v>
      </c>
    </row>
    <row r="233" spans="1:29" x14ac:dyDescent="0.3">
      <c r="A233" t="s">
        <v>354</v>
      </c>
      <c r="B233" s="1">
        <v>46105</v>
      </c>
      <c r="C233" s="1">
        <v>46105</v>
      </c>
      <c r="D233" s="1">
        <v>46109</v>
      </c>
      <c r="E233" t="s">
        <v>92</v>
      </c>
      <c r="F233" t="s">
        <v>93</v>
      </c>
      <c r="G233" t="s">
        <v>94</v>
      </c>
      <c r="H233">
        <v>1215</v>
      </c>
      <c r="I233" t="s">
        <v>60</v>
      </c>
      <c r="J233">
        <v>2</v>
      </c>
      <c r="K233">
        <v>14580</v>
      </c>
      <c r="L233">
        <v>8</v>
      </c>
      <c r="M233" t="s">
        <v>226</v>
      </c>
      <c r="N233">
        <v>4</v>
      </c>
      <c r="O233">
        <v>3.7</v>
      </c>
      <c r="P233" t="s">
        <v>66</v>
      </c>
      <c r="Q233" t="s">
        <v>38</v>
      </c>
      <c r="R233" t="s">
        <v>54</v>
      </c>
      <c r="S233">
        <v>2</v>
      </c>
      <c r="T233">
        <v>4</v>
      </c>
      <c r="U233">
        <v>2</v>
      </c>
      <c r="V233" t="s">
        <v>46</v>
      </c>
      <c r="W233" t="s">
        <v>55</v>
      </c>
      <c r="X233" t="s">
        <v>95</v>
      </c>
      <c r="Y233" t="s">
        <v>62</v>
      </c>
      <c r="Z233">
        <v>4.5999999999999996</v>
      </c>
      <c r="AA233">
        <f t="shared" si="9"/>
        <v>12</v>
      </c>
      <c r="AB233" t="str">
        <f t="shared" si="10"/>
        <v>Yes</v>
      </c>
      <c r="AC233" t="str">
        <f t="shared" si="11"/>
        <v>Needs Improvement</v>
      </c>
    </row>
    <row r="234" spans="1:29" x14ac:dyDescent="0.3">
      <c r="A234" t="s">
        <v>355</v>
      </c>
      <c r="B234" s="1">
        <v>46033</v>
      </c>
      <c r="C234" s="1">
        <v>46034</v>
      </c>
      <c r="D234" s="1">
        <v>46040</v>
      </c>
      <c r="E234" t="s">
        <v>92</v>
      </c>
      <c r="F234" t="s">
        <v>93</v>
      </c>
      <c r="G234" t="s">
        <v>94</v>
      </c>
      <c r="H234">
        <v>1373</v>
      </c>
      <c r="I234" t="s">
        <v>43</v>
      </c>
      <c r="J234">
        <v>2</v>
      </c>
      <c r="K234">
        <v>16476</v>
      </c>
      <c r="L234">
        <v>8</v>
      </c>
      <c r="M234" t="s">
        <v>128</v>
      </c>
      <c r="N234">
        <v>6</v>
      </c>
      <c r="O234">
        <v>3.2</v>
      </c>
      <c r="P234" t="s">
        <v>53</v>
      </c>
      <c r="Q234" t="s">
        <v>33</v>
      </c>
      <c r="R234" t="s">
        <v>54</v>
      </c>
      <c r="S234">
        <v>3</v>
      </c>
      <c r="T234">
        <v>6</v>
      </c>
      <c r="U234">
        <v>3</v>
      </c>
      <c r="V234" t="s">
        <v>46</v>
      </c>
      <c r="W234" t="s">
        <v>68</v>
      </c>
      <c r="X234" t="s">
        <v>63</v>
      </c>
      <c r="Y234" t="s">
        <v>33</v>
      </c>
      <c r="Z234">
        <v>4.0999999999999996</v>
      </c>
      <c r="AA234">
        <f t="shared" si="9"/>
        <v>12</v>
      </c>
      <c r="AB234" t="str">
        <f t="shared" si="10"/>
        <v>Yes</v>
      </c>
      <c r="AC234" t="str">
        <f t="shared" si="11"/>
        <v>Needs Improvement</v>
      </c>
    </row>
    <row r="235" spans="1:29" x14ac:dyDescent="0.3">
      <c r="A235" t="s">
        <v>356</v>
      </c>
      <c r="B235" s="1">
        <v>46128</v>
      </c>
      <c r="C235" s="1">
        <v>46128</v>
      </c>
      <c r="D235" s="1">
        <v>46134</v>
      </c>
      <c r="E235" t="s">
        <v>57</v>
      </c>
      <c r="F235" t="s">
        <v>58</v>
      </c>
      <c r="G235" t="s">
        <v>59</v>
      </c>
      <c r="H235">
        <v>1241</v>
      </c>
      <c r="I235" t="s">
        <v>60</v>
      </c>
      <c r="J235">
        <v>8</v>
      </c>
      <c r="K235">
        <v>9928</v>
      </c>
      <c r="L235">
        <v>7</v>
      </c>
      <c r="M235" t="s">
        <v>208</v>
      </c>
      <c r="N235">
        <v>14</v>
      </c>
      <c r="O235">
        <v>3.4</v>
      </c>
      <c r="P235" t="s">
        <v>53</v>
      </c>
      <c r="Q235" t="s">
        <v>62</v>
      </c>
      <c r="R235" t="s">
        <v>54</v>
      </c>
      <c r="S235">
        <v>2</v>
      </c>
      <c r="T235">
        <v>6</v>
      </c>
      <c r="U235">
        <v>4</v>
      </c>
      <c r="V235" t="s">
        <v>46</v>
      </c>
      <c r="W235" t="s">
        <v>68</v>
      </c>
      <c r="X235" t="s">
        <v>47</v>
      </c>
      <c r="Y235" t="s">
        <v>33</v>
      </c>
      <c r="Z235">
        <v>3.9</v>
      </c>
      <c r="AA235">
        <f t="shared" si="9"/>
        <v>8</v>
      </c>
      <c r="AB235" t="str">
        <f t="shared" si="10"/>
        <v>Yes</v>
      </c>
      <c r="AC235" t="str">
        <f t="shared" si="11"/>
        <v>Needs Improvement</v>
      </c>
    </row>
    <row r="236" spans="1:29" x14ac:dyDescent="0.3">
      <c r="A236" t="s">
        <v>357</v>
      </c>
      <c r="B236" s="1">
        <v>46035</v>
      </c>
      <c r="C236" s="1">
        <v>46037</v>
      </c>
      <c r="D236" s="1">
        <v>46039</v>
      </c>
      <c r="E236" t="s">
        <v>40</v>
      </c>
      <c r="F236" t="s">
        <v>41</v>
      </c>
      <c r="G236" t="s">
        <v>42</v>
      </c>
      <c r="H236">
        <v>204</v>
      </c>
      <c r="I236" t="s">
        <v>30</v>
      </c>
      <c r="J236">
        <v>6</v>
      </c>
      <c r="K236">
        <v>2448</v>
      </c>
      <c r="L236">
        <v>10</v>
      </c>
      <c r="M236" t="s">
        <v>99</v>
      </c>
      <c r="N236">
        <v>9</v>
      </c>
      <c r="O236">
        <v>4</v>
      </c>
      <c r="P236" t="s">
        <v>32</v>
      </c>
      <c r="Q236" t="s">
        <v>38</v>
      </c>
      <c r="R236" t="s">
        <v>67</v>
      </c>
      <c r="S236">
        <v>1</v>
      </c>
      <c r="T236">
        <v>2</v>
      </c>
      <c r="U236">
        <v>1</v>
      </c>
      <c r="V236" t="s">
        <v>46</v>
      </c>
      <c r="W236" t="s">
        <v>36</v>
      </c>
      <c r="X236" t="s">
        <v>95</v>
      </c>
      <c r="Y236" t="s">
        <v>38</v>
      </c>
      <c r="Z236">
        <v>3.5</v>
      </c>
      <c r="AA236">
        <f t="shared" si="9"/>
        <v>12</v>
      </c>
      <c r="AB236" t="str">
        <f t="shared" si="10"/>
        <v>Yes</v>
      </c>
      <c r="AC236" t="str">
        <f t="shared" si="11"/>
        <v>Needs Improvement</v>
      </c>
    </row>
    <row r="237" spans="1:29" x14ac:dyDescent="0.3">
      <c r="A237" t="s">
        <v>358</v>
      </c>
      <c r="B237" s="1">
        <v>46048</v>
      </c>
      <c r="C237" s="1">
        <v>46048</v>
      </c>
      <c r="D237" s="1">
        <v>46054</v>
      </c>
      <c r="E237" t="s">
        <v>72</v>
      </c>
      <c r="F237" t="s">
        <v>73</v>
      </c>
      <c r="G237" t="s">
        <v>74</v>
      </c>
      <c r="H237">
        <v>1004</v>
      </c>
      <c r="I237" t="s">
        <v>60</v>
      </c>
      <c r="J237">
        <v>8</v>
      </c>
      <c r="K237">
        <v>12048</v>
      </c>
      <c r="L237">
        <v>6</v>
      </c>
      <c r="M237" t="s">
        <v>245</v>
      </c>
      <c r="N237">
        <v>6</v>
      </c>
      <c r="O237">
        <v>3.2</v>
      </c>
      <c r="P237" t="s">
        <v>53</v>
      </c>
      <c r="Q237" t="s">
        <v>38</v>
      </c>
      <c r="R237" t="s">
        <v>54</v>
      </c>
      <c r="S237">
        <v>2</v>
      </c>
      <c r="T237">
        <v>6</v>
      </c>
      <c r="U237">
        <v>4</v>
      </c>
      <c r="V237" t="s">
        <v>46</v>
      </c>
      <c r="W237" t="s">
        <v>36</v>
      </c>
      <c r="X237" t="s">
        <v>95</v>
      </c>
      <c r="Y237" t="s">
        <v>62</v>
      </c>
      <c r="Z237">
        <v>4.3</v>
      </c>
      <c r="AA237">
        <f t="shared" si="9"/>
        <v>12</v>
      </c>
      <c r="AB237" t="str">
        <f t="shared" si="10"/>
        <v>Yes</v>
      </c>
      <c r="AC237" t="str">
        <f t="shared" si="11"/>
        <v>Needs Improvement</v>
      </c>
    </row>
    <row r="238" spans="1:29" x14ac:dyDescent="0.3">
      <c r="A238" t="s">
        <v>359</v>
      </c>
      <c r="B238" s="1">
        <v>46087</v>
      </c>
      <c r="C238" s="1">
        <v>46087</v>
      </c>
      <c r="D238" s="1">
        <v>46094</v>
      </c>
      <c r="E238" t="s">
        <v>92</v>
      </c>
      <c r="F238" t="s">
        <v>93</v>
      </c>
      <c r="G238" t="s">
        <v>94</v>
      </c>
      <c r="H238">
        <v>208</v>
      </c>
      <c r="I238" t="s">
        <v>87</v>
      </c>
      <c r="J238">
        <v>9</v>
      </c>
      <c r="K238">
        <v>1872</v>
      </c>
      <c r="L238">
        <v>9</v>
      </c>
      <c r="M238" t="s">
        <v>116</v>
      </c>
      <c r="N238">
        <v>15</v>
      </c>
      <c r="O238">
        <v>4</v>
      </c>
      <c r="P238" t="s">
        <v>45</v>
      </c>
      <c r="Q238" t="s">
        <v>33</v>
      </c>
      <c r="R238" t="s">
        <v>54</v>
      </c>
      <c r="S238">
        <v>1</v>
      </c>
      <c r="T238">
        <v>7</v>
      </c>
      <c r="U238">
        <v>6</v>
      </c>
      <c r="V238" t="s">
        <v>46</v>
      </c>
      <c r="W238" t="s">
        <v>36</v>
      </c>
      <c r="X238" t="s">
        <v>63</v>
      </c>
      <c r="Y238" t="s">
        <v>62</v>
      </c>
      <c r="Z238">
        <v>4.3</v>
      </c>
      <c r="AA238">
        <f t="shared" si="9"/>
        <v>9</v>
      </c>
      <c r="AB238" t="str">
        <f t="shared" si="10"/>
        <v>Yes</v>
      </c>
      <c r="AC238" t="str">
        <f t="shared" si="11"/>
        <v>Needs Improvement</v>
      </c>
    </row>
    <row r="239" spans="1:29" x14ac:dyDescent="0.3">
      <c r="A239" t="s">
        <v>360</v>
      </c>
      <c r="B239" s="1">
        <v>46100</v>
      </c>
      <c r="C239" s="1">
        <v>46101</v>
      </c>
      <c r="D239" s="1">
        <v>46107</v>
      </c>
      <c r="E239" t="s">
        <v>111</v>
      </c>
      <c r="F239" t="s">
        <v>27</v>
      </c>
      <c r="G239" t="s">
        <v>112</v>
      </c>
      <c r="H239">
        <v>1057</v>
      </c>
      <c r="I239" t="s">
        <v>60</v>
      </c>
      <c r="J239">
        <v>5</v>
      </c>
      <c r="K239">
        <v>9513</v>
      </c>
      <c r="L239">
        <v>7</v>
      </c>
      <c r="M239" t="s">
        <v>99</v>
      </c>
      <c r="N239">
        <v>8</v>
      </c>
      <c r="O239">
        <v>4.5999999999999996</v>
      </c>
      <c r="P239" t="s">
        <v>45</v>
      </c>
      <c r="Q239" t="s">
        <v>62</v>
      </c>
      <c r="R239" t="s">
        <v>54</v>
      </c>
      <c r="S239">
        <v>2</v>
      </c>
      <c r="T239">
        <v>6</v>
      </c>
      <c r="U239">
        <v>4</v>
      </c>
      <c r="V239" t="s">
        <v>46</v>
      </c>
      <c r="W239" t="s">
        <v>68</v>
      </c>
      <c r="X239" t="s">
        <v>76</v>
      </c>
      <c r="Y239" t="s">
        <v>62</v>
      </c>
      <c r="Z239">
        <v>4.4000000000000004</v>
      </c>
      <c r="AA239">
        <f t="shared" si="9"/>
        <v>9</v>
      </c>
      <c r="AB239" t="str">
        <f t="shared" si="10"/>
        <v>Yes</v>
      </c>
      <c r="AC239" t="str">
        <f t="shared" si="11"/>
        <v>Needs Improvement</v>
      </c>
    </row>
    <row r="240" spans="1:29" x14ac:dyDescent="0.3">
      <c r="A240" t="s">
        <v>361</v>
      </c>
      <c r="B240" s="1">
        <v>46142</v>
      </c>
      <c r="C240" s="1">
        <v>46144</v>
      </c>
      <c r="D240" s="1">
        <v>46149</v>
      </c>
      <c r="E240" t="s">
        <v>40</v>
      </c>
      <c r="F240" t="s">
        <v>41</v>
      </c>
      <c r="G240" t="s">
        <v>42</v>
      </c>
      <c r="H240">
        <v>611</v>
      </c>
      <c r="I240" t="s">
        <v>60</v>
      </c>
      <c r="J240">
        <v>10</v>
      </c>
      <c r="K240">
        <v>6721</v>
      </c>
      <c r="L240">
        <v>7</v>
      </c>
      <c r="M240" t="s">
        <v>123</v>
      </c>
      <c r="N240">
        <v>6</v>
      </c>
      <c r="O240">
        <v>4.8</v>
      </c>
      <c r="P240" t="s">
        <v>45</v>
      </c>
      <c r="Q240" t="s">
        <v>33</v>
      </c>
      <c r="R240" t="s">
        <v>54</v>
      </c>
      <c r="S240">
        <v>1</v>
      </c>
      <c r="T240">
        <v>5</v>
      </c>
      <c r="U240">
        <v>4</v>
      </c>
      <c r="V240" t="s">
        <v>46</v>
      </c>
      <c r="W240" t="s">
        <v>55</v>
      </c>
      <c r="X240" t="s">
        <v>47</v>
      </c>
      <c r="Y240" t="s">
        <v>33</v>
      </c>
      <c r="Z240">
        <v>3.2</v>
      </c>
      <c r="AA240">
        <f t="shared" si="9"/>
        <v>11</v>
      </c>
      <c r="AB240" t="str">
        <f t="shared" si="10"/>
        <v>Yes</v>
      </c>
      <c r="AC240" t="str">
        <f t="shared" si="11"/>
        <v>Needs Improvement</v>
      </c>
    </row>
    <row r="241" spans="1:29" x14ac:dyDescent="0.3">
      <c r="A241" t="s">
        <v>362</v>
      </c>
      <c r="B241" s="1">
        <v>46068</v>
      </c>
      <c r="C241" s="1">
        <v>46070</v>
      </c>
      <c r="D241" s="1">
        <v>46073</v>
      </c>
      <c r="E241" t="s">
        <v>92</v>
      </c>
      <c r="F241" t="s">
        <v>93</v>
      </c>
      <c r="G241" t="s">
        <v>94</v>
      </c>
      <c r="H241">
        <v>1393</v>
      </c>
      <c r="I241" t="s">
        <v>43</v>
      </c>
      <c r="J241">
        <v>9</v>
      </c>
      <c r="K241">
        <v>11144</v>
      </c>
      <c r="L241">
        <v>8</v>
      </c>
      <c r="M241" t="s">
        <v>158</v>
      </c>
      <c r="N241">
        <v>9</v>
      </c>
      <c r="O241">
        <v>3.2</v>
      </c>
      <c r="P241" t="s">
        <v>53</v>
      </c>
      <c r="Q241" t="s">
        <v>38</v>
      </c>
      <c r="R241" t="s">
        <v>67</v>
      </c>
      <c r="S241">
        <v>3</v>
      </c>
      <c r="T241">
        <v>3</v>
      </c>
      <c r="U241">
        <v>0</v>
      </c>
      <c r="V241" t="s">
        <v>35</v>
      </c>
      <c r="W241" t="s">
        <v>36</v>
      </c>
      <c r="X241" t="s">
        <v>47</v>
      </c>
      <c r="Y241" t="s">
        <v>38</v>
      </c>
      <c r="Z241">
        <v>5</v>
      </c>
      <c r="AA241">
        <f t="shared" si="9"/>
        <v>8</v>
      </c>
      <c r="AB241" t="str">
        <f t="shared" si="10"/>
        <v>No</v>
      </c>
      <c r="AC241" t="str">
        <f t="shared" si="11"/>
        <v>Efficient</v>
      </c>
    </row>
    <row r="242" spans="1:29" x14ac:dyDescent="0.3">
      <c r="A242" t="s">
        <v>363</v>
      </c>
      <c r="B242" s="1">
        <v>46110</v>
      </c>
      <c r="C242" s="1">
        <v>46111</v>
      </c>
      <c r="D242" s="1">
        <v>46115</v>
      </c>
      <c r="E242" t="s">
        <v>82</v>
      </c>
      <c r="F242" t="s">
        <v>83</v>
      </c>
      <c r="G242" t="s">
        <v>84</v>
      </c>
      <c r="H242">
        <v>327</v>
      </c>
      <c r="I242" t="s">
        <v>30</v>
      </c>
      <c r="J242">
        <v>4</v>
      </c>
      <c r="K242">
        <v>3924</v>
      </c>
      <c r="L242">
        <v>9</v>
      </c>
      <c r="M242" t="s">
        <v>172</v>
      </c>
      <c r="N242">
        <v>6</v>
      </c>
      <c r="O242">
        <v>4.5999999999999996</v>
      </c>
      <c r="P242" t="s">
        <v>32</v>
      </c>
      <c r="Q242" t="s">
        <v>33</v>
      </c>
      <c r="R242" t="s">
        <v>54</v>
      </c>
      <c r="S242">
        <v>1</v>
      </c>
      <c r="T242">
        <v>4</v>
      </c>
      <c r="U242">
        <v>3</v>
      </c>
      <c r="V242" t="s">
        <v>46</v>
      </c>
      <c r="W242" t="s">
        <v>36</v>
      </c>
      <c r="X242" t="s">
        <v>76</v>
      </c>
      <c r="Y242" t="s">
        <v>33</v>
      </c>
      <c r="Z242">
        <v>3.6</v>
      </c>
      <c r="AA242">
        <f t="shared" si="9"/>
        <v>12</v>
      </c>
      <c r="AB242" t="str">
        <f t="shared" si="10"/>
        <v>Yes</v>
      </c>
      <c r="AC242" t="str">
        <f t="shared" si="11"/>
        <v>Needs Improvement</v>
      </c>
    </row>
    <row r="243" spans="1:29" x14ac:dyDescent="0.3">
      <c r="A243" t="s">
        <v>364</v>
      </c>
      <c r="B243" s="1">
        <v>46108</v>
      </c>
      <c r="C243" s="1">
        <v>46108</v>
      </c>
      <c r="D243" s="1">
        <v>46112</v>
      </c>
      <c r="E243" t="s">
        <v>111</v>
      </c>
      <c r="F243" t="s">
        <v>27</v>
      </c>
      <c r="G243" t="s">
        <v>112</v>
      </c>
      <c r="H243">
        <v>993</v>
      </c>
      <c r="I243" t="s">
        <v>43</v>
      </c>
      <c r="J243">
        <v>6</v>
      </c>
      <c r="K243">
        <v>9930</v>
      </c>
      <c r="L243">
        <v>5</v>
      </c>
      <c r="M243" t="s">
        <v>158</v>
      </c>
      <c r="N243">
        <v>12</v>
      </c>
      <c r="O243">
        <v>3.5</v>
      </c>
      <c r="P243" t="s">
        <v>53</v>
      </c>
      <c r="Q243" t="s">
        <v>38</v>
      </c>
      <c r="R243" t="s">
        <v>54</v>
      </c>
      <c r="S243">
        <v>2</v>
      </c>
      <c r="T243">
        <v>4</v>
      </c>
      <c r="U243">
        <v>2</v>
      </c>
      <c r="V243" t="s">
        <v>46</v>
      </c>
      <c r="W243" t="s">
        <v>55</v>
      </c>
      <c r="X243" t="s">
        <v>76</v>
      </c>
      <c r="Y243" t="s">
        <v>33</v>
      </c>
      <c r="Z243">
        <v>4.2</v>
      </c>
      <c r="AA243">
        <f t="shared" si="9"/>
        <v>10</v>
      </c>
      <c r="AB243" t="str">
        <f t="shared" si="10"/>
        <v>Yes</v>
      </c>
      <c r="AC243" t="str">
        <f t="shared" si="11"/>
        <v>Needs Improvement</v>
      </c>
    </row>
    <row r="244" spans="1:29" x14ac:dyDescent="0.3">
      <c r="A244" t="s">
        <v>365</v>
      </c>
      <c r="B244" s="1">
        <v>46122</v>
      </c>
      <c r="C244" s="1">
        <v>46124</v>
      </c>
      <c r="D244" s="1">
        <v>46126</v>
      </c>
      <c r="E244" t="s">
        <v>40</v>
      </c>
      <c r="F244" t="s">
        <v>41</v>
      </c>
      <c r="G244" t="s">
        <v>42</v>
      </c>
      <c r="H244">
        <v>802</v>
      </c>
      <c r="I244" t="s">
        <v>43</v>
      </c>
      <c r="J244">
        <v>3</v>
      </c>
      <c r="K244">
        <v>8822</v>
      </c>
      <c r="L244">
        <v>5</v>
      </c>
      <c r="M244" t="s">
        <v>283</v>
      </c>
      <c r="N244">
        <v>3</v>
      </c>
      <c r="O244">
        <v>4.5</v>
      </c>
      <c r="P244" t="s">
        <v>32</v>
      </c>
      <c r="Q244" t="s">
        <v>62</v>
      </c>
      <c r="R244" t="s">
        <v>67</v>
      </c>
      <c r="S244">
        <v>1</v>
      </c>
      <c r="T244">
        <v>2</v>
      </c>
      <c r="U244">
        <v>1</v>
      </c>
      <c r="V244" t="s">
        <v>46</v>
      </c>
      <c r="W244" t="s">
        <v>68</v>
      </c>
      <c r="X244" t="s">
        <v>76</v>
      </c>
      <c r="Y244" t="s">
        <v>62</v>
      </c>
      <c r="Z244">
        <v>3.3</v>
      </c>
      <c r="AA244">
        <f t="shared" si="9"/>
        <v>11</v>
      </c>
      <c r="AB244" t="str">
        <f t="shared" si="10"/>
        <v>Yes</v>
      </c>
      <c r="AC244" t="str">
        <f t="shared" si="11"/>
        <v>Needs Improvement</v>
      </c>
    </row>
    <row r="245" spans="1:29" x14ac:dyDescent="0.3">
      <c r="A245" t="s">
        <v>366</v>
      </c>
      <c r="B245" s="1">
        <v>46097</v>
      </c>
      <c r="C245" s="1">
        <v>46098</v>
      </c>
      <c r="D245" s="1">
        <v>46101</v>
      </c>
      <c r="E245" t="s">
        <v>27</v>
      </c>
      <c r="F245" t="s">
        <v>28</v>
      </c>
      <c r="G245" t="s">
        <v>29</v>
      </c>
      <c r="H245">
        <v>876</v>
      </c>
      <c r="I245" t="s">
        <v>43</v>
      </c>
      <c r="J245">
        <v>3</v>
      </c>
      <c r="K245">
        <v>5256</v>
      </c>
      <c r="L245">
        <v>6</v>
      </c>
      <c r="M245" t="s">
        <v>226</v>
      </c>
      <c r="N245">
        <v>10</v>
      </c>
      <c r="O245">
        <v>3.1</v>
      </c>
      <c r="P245" t="s">
        <v>66</v>
      </c>
      <c r="Q245" t="s">
        <v>62</v>
      </c>
      <c r="R245" t="s">
        <v>54</v>
      </c>
      <c r="S245">
        <v>1</v>
      </c>
      <c r="T245">
        <v>3</v>
      </c>
      <c r="U245">
        <v>2</v>
      </c>
      <c r="V245" t="s">
        <v>46</v>
      </c>
      <c r="W245" t="s">
        <v>36</v>
      </c>
      <c r="X245" t="s">
        <v>47</v>
      </c>
      <c r="Y245" t="s">
        <v>33</v>
      </c>
      <c r="Z245">
        <v>3.4</v>
      </c>
      <c r="AA245">
        <f t="shared" si="9"/>
        <v>6</v>
      </c>
      <c r="AB245" t="str">
        <f t="shared" si="10"/>
        <v>Yes</v>
      </c>
      <c r="AC245" t="str">
        <f t="shared" si="11"/>
        <v>Needs Improvement</v>
      </c>
    </row>
    <row r="246" spans="1:29" x14ac:dyDescent="0.3">
      <c r="A246" t="s">
        <v>367</v>
      </c>
      <c r="B246" s="1">
        <v>46046</v>
      </c>
      <c r="C246" s="1">
        <v>46048</v>
      </c>
      <c r="D246" s="1">
        <v>46052</v>
      </c>
      <c r="E246" t="s">
        <v>72</v>
      </c>
      <c r="F246" t="s">
        <v>73</v>
      </c>
      <c r="G246" t="s">
        <v>74</v>
      </c>
      <c r="H246">
        <v>1234</v>
      </c>
      <c r="I246" t="s">
        <v>60</v>
      </c>
      <c r="J246">
        <v>7</v>
      </c>
      <c r="K246">
        <v>12340</v>
      </c>
      <c r="L246">
        <v>9</v>
      </c>
      <c r="M246" t="s">
        <v>205</v>
      </c>
      <c r="N246">
        <v>2</v>
      </c>
      <c r="O246">
        <v>3.7</v>
      </c>
      <c r="P246" t="s">
        <v>45</v>
      </c>
      <c r="Q246" t="s">
        <v>33</v>
      </c>
      <c r="R246" t="s">
        <v>34</v>
      </c>
      <c r="S246">
        <v>2</v>
      </c>
      <c r="T246">
        <v>4</v>
      </c>
      <c r="U246">
        <v>2</v>
      </c>
      <c r="V246" t="s">
        <v>46</v>
      </c>
      <c r="W246" t="s">
        <v>36</v>
      </c>
      <c r="X246" t="s">
        <v>76</v>
      </c>
      <c r="Y246" t="s">
        <v>33</v>
      </c>
      <c r="Z246">
        <v>3.9</v>
      </c>
      <c r="AA246">
        <f t="shared" si="9"/>
        <v>10</v>
      </c>
      <c r="AB246" t="str">
        <f t="shared" si="10"/>
        <v>Yes</v>
      </c>
      <c r="AC246" t="str">
        <f t="shared" si="11"/>
        <v>Needs Improvement</v>
      </c>
    </row>
    <row r="247" spans="1:29" x14ac:dyDescent="0.3">
      <c r="A247" t="s">
        <v>368</v>
      </c>
      <c r="B247" s="1">
        <v>46094</v>
      </c>
      <c r="C247" s="1">
        <v>46096</v>
      </c>
      <c r="D247" s="1">
        <v>46097</v>
      </c>
      <c r="E247" t="s">
        <v>27</v>
      </c>
      <c r="F247" t="s">
        <v>28</v>
      </c>
      <c r="G247" t="s">
        <v>29</v>
      </c>
      <c r="H247">
        <v>434</v>
      </c>
      <c r="I247" t="s">
        <v>30</v>
      </c>
      <c r="J247">
        <v>8</v>
      </c>
      <c r="K247">
        <v>3038</v>
      </c>
      <c r="L247">
        <v>10</v>
      </c>
      <c r="M247" t="s">
        <v>139</v>
      </c>
      <c r="N247">
        <v>15</v>
      </c>
      <c r="O247">
        <v>4.2</v>
      </c>
      <c r="P247" t="s">
        <v>32</v>
      </c>
      <c r="Q247" t="s">
        <v>33</v>
      </c>
      <c r="R247" t="s">
        <v>34</v>
      </c>
      <c r="S247">
        <v>1</v>
      </c>
      <c r="T247">
        <v>1</v>
      </c>
      <c r="U247">
        <v>0</v>
      </c>
      <c r="V247" t="s">
        <v>35</v>
      </c>
      <c r="W247" t="s">
        <v>68</v>
      </c>
      <c r="X247" t="s">
        <v>47</v>
      </c>
      <c r="Y247" t="s">
        <v>33</v>
      </c>
      <c r="Z247">
        <v>4.4000000000000004</v>
      </c>
      <c r="AA247">
        <f t="shared" si="9"/>
        <v>7</v>
      </c>
      <c r="AB247" t="str">
        <f t="shared" si="10"/>
        <v>No</v>
      </c>
      <c r="AC247" t="str">
        <f t="shared" si="11"/>
        <v>Efficient</v>
      </c>
    </row>
    <row r="248" spans="1:29" x14ac:dyDescent="0.3">
      <c r="A248" t="s">
        <v>369</v>
      </c>
      <c r="B248" s="1">
        <v>46026</v>
      </c>
      <c r="C248" s="1">
        <v>46028</v>
      </c>
      <c r="D248" s="1">
        <v>46032</v>
      </c>
      <c r="E248" t="s">
        <v>49</v>
      </c>
      <c r="F248" t="s">
        <v>50</v>
      </c>
      <c r="G248" t="s">
        <v>51</v>
      </c>
      <c r="H248">
        <v>1253</v>
      </c>
      <c r="I248" t="s">
        <v>43</v>
      </c>
      <c r="J248">
        <v>8</v>
      </c>
      <c r="K248">
        <v>7518</v>
      </c>
      <c r="L248">
        <v>7</v>
      </c>
      <c r="M248" t="s">
        <v>97</v>
      </c>
      <c r="N248">
        <v>4</v>
      </c>
      <c r="O248">
        <v>3.6</v>
      </c>
      <c r="P248" t="s">
        <v>32</v>
      </c>
      <c r="Q248" t="s">
        <v>38</v>
      </c>
      <c r="R248" t="s">
        <v>67</v>
      </c>
      <c r="S248">
        <v>2</v>
      </c>
      <c r="T248">
        <v>4</v>
      </c>
      <c r="U248">
        <v>2</v>
      </c>
      <c r="V248" t="s">
        <v>46</v>
      </c>
      <c r="W248" t="s">
        <v>55</v>
      </c>
      <c r="X248" t="s">
        <v>63</v>
      </c>
      <c r="Y248" t="s">
        <v>33</v>
      </c>
      <c r="Z248">
        <v>3.1</v>
      </c>
      <c r="AA248">
        <f t="shared" si="9"/>
        <v>6</v>
      </c>
      <c r="AB248" t="str">
        <f t="shared" si="10"/>
        <v>Yes</v>
      </c>
      <c r="AC248" t="str">
        <f t="shared" si="11"/>
        <v>Needs Improvement</v>
      </c>
    </row>
    <row r="249" spans="1:29" x14ac:dyDescent="0.3">
      <c r="A249" t="s">
        <v>370</v>
      </c>
      <c r="B249" s="1">
        <v>46108</v>
      </c>
      <c r="C249" s="1">
        <v>46110</v>
      </c>
      <c r="D249" s="1">
        <v>46114</v>
      </c>
      <c r="E249" t="s">
        <v>40</v>
      </c>
      <c r="F249" t="s">
        <v>41</v>
      </c>
      <c r="G249" t="s">
        <v>42</v>
      </c>
      <c r="H249">
        <v>1603</v>
      </c>
      <c r="I249" t="s">
        <v>43</v>
      </c>
      <c r="J249">
        <v>2</v>
      </c>
      <c r="K249">
        <v>11221</v>
      </c>
      <c r="L249">
        <v>9</v>
      </c>
      <c r="M249" t="s">
        <v>65</v>
      </c>
      <c r="N249">
        <v>15</v>
      </c>
      <c r="O249">
        <v>5</v>
      </c>
      <c r="P249" t="s">
        <v>53</v>
      </c>
      <c r="Q249" t="s">
        <v>33</v>
      </c>
      <c r="R249" t="s">
        <v>67</v>
      </c>
      <c r="S249">
        <v>3</v>
      </c>
      <c r="T249">
        <v>4</v>
      </c>
      <c r="U249">
        <v>1</v>
      </c>
      <c r="V249" t="s">
        <v>46</v>
      </c>
      <c r="W249" t="s">
        <v>55</v>
      </c>
      <c r="X249" t="s">
        <v>47</v>
      </c>
      <c r="Y249" t="s">
        <v>38</v>
      </c>
      <c r="Z249">
        <v>3.2</v>
      </c>
      <c r="AA249">
        <f t="shared" si="9"/>
        <v>7</v>
      </c>
      <c r="AB249" t="str">
        <f t="shared" si="10"/>
        <v>Yes</v>
      </c>
      <c r="AC249" t="str">
        <f t="shared" si="11"/>
        <v>Needs Improvement</v>
      </c>
    </row>
    <row r="250" spans="1:29" x14ac:dyDescent="0.3">
      <c r="A250" t="s">
        <v>371</v>
      </c>
      <c r="B250" s="1">
        <v>46029</v>
      </c>
      <c r="C250" s="1">
        <v>46029</v>
      </c>
      <c r="D250" s="1">
        <v>46032</v>
      </c>
      <c r="E250" t="s">
        <v>57</v>
      </c>
      <c r="F250" t="s">
        <v>58</v>
      </c>
      <c r="G250" t="s">
        <v>59</v>
      </c>
      <c r="H250">
        <v>1342</v>
      </c>
      <c r="I250" t="s">
        <v>87</v>
      </c>
      <c r="J250">
        <v>10</v>
      </c>
      <c r="K250">
        <v>16104</v>
      </c>
      <c r="L250">
        <v>6</v>
      </c>
      <c r="M250" t="s">
        <v>243</v>
      </c>
      <c r="N250">
        <v>7</v>
      </c>
      <c r="O250">
        <v>3.8</v>
      </c>
      <c r="P250" t="s">
        <v>53</v>
      </c>
      <c r="Q250" t="s">
        <v>62</v>
      </c>
      <c r="R250" t="s">
        <v>34</v>
      </c>
      <c r="S250">
        <v>2</v>
      </c>
      <c r="T250">
        <v>3</v>
      </c>
      <c r="U250">
        <v>1</v>
      </c>
      <c r="V250" t="s">
        <v>46</v>
      </c>
      <c r="W250" t="s">
        <v>55</v>
      </c>
      <c r="X250" t="s">
        <v>63</v>
      </c>
      <c r="Y250" t="s">
        <v>33</v>
      </c>
      <c r="Z250">
        <v>3</v>
      </c>
      <c r="AA250">
        <f t="shared" si="9"/>
        <v>12</v>
      </c>
      <c r="AB250" t="str">
        <f t="shared" si="10"/>
        <v>Yes</v>
      </c>
      <c r="AC250" t="str">
        <f t="shared" si="11"/>
        <v>Needs Improvement</v>
      </c>
    </row>
    <row r="251" spans="1:29" x14ac:dyDescent="0.3">
      <c r="A251" t="s">
        <v>372</v>
      </c>
      <c r="B251" s="1">
        <v>46115</v>
      </c>
      <c r="C251" s="1">
        <v>46117</v>
      </c>
      <c r="D251" s="1">
        <v>46123</v>
      </c>
      <c r="E251" t="s">
        <v>72</v>
      </c>
      <c r="F251" t="s">
        <v>73</v>
      </c>
      <c r="G251" t="s">
        <v>74</v>
      </c>
      <c r="H251">
        <v>1748</v>
      </c>
      <c r="I251" t="s">
        <v>87</v>
      </c>
      <c r="J251">
        <v>2</v>
      </c>
      <c r="K251">
        <v>13984</v>
      </c>
      <c r="L251">
        <v>9</v>
      </c>
      <c r="M251" t="s">
        <v>107</v>
      </c>
      <c r="N251">
        <v>5</v>
      </c>
      <c r="O251">
        <v>4.5999999999999996</v>
      </c>
      <c r="P251" t="s">
        <v>66</v>
      </c>
      <c r="Q251" t="s">
        <v>33</v>
      </c>
      <c r="R251" t="s">
        <v>67</v>
      </c>
      <c r="S251">
        <v>3</v>
      </c>
      <c r="T251">
        <v>6</v>
      </c>
      <c r="U251">
        <v>3</v>
      </c>
      <c r="V251" t="s">
        <v>46</v>
      </c>
      <c r="W251" t="s">
        <v>68</v>
      </c>
      <c r="X251" t="s">
        <v>63</v>
      </c>
      <c r="Y251" t="s">
        <v>62</v>
      </c>
      <c r="Z251">
        <v>3.3</v>
      </c>
      <c r="AA251">
        <f t="shared" si="9"/>
        <v>8</v>
      </c>
      <c r="AB251" t="str">
        <f t="shared" si="10"/>
        <v>Yes</v>
      </c>
      <c r="AC251" t="str">
        <f t="shared" si="11"/>
        <v>Needs Improvement</v>
      </c>
    </row>
    <row r="252" spans="1:29" x14ac:dyDescent="0.3">
      <c r="A252" t="s">
        <v>373</v>
      </c>
      <c r="B252" s="1">
        <v>46051</v>
      </c>
      <c r="C252" s="1">
        <v>46051</v>
      </c>
      <c r="D252" s="1">
        <v>46053</v>
      </c>
      <c r="E252" t="s">
        <v>111</v>
      </c>
      <c r="F252" t="s">
        <v>27</v>
      </c>
      <c r="G252" t="s">
        <v>112</v>
      </c>
      <c r="H252">
        <v>1317</v>
      </c>
      <c r="I252" t="s">
        <v>30</v>
      </c>
      <c r="J252">
        <v>3</v>
      </c>
      <c r="K252">
        <v>10536</v>
      </c>
      <c r="L252">
        <v>10</v>
      </c>
      <c r="M252" t="s">
        <v>78</v>
      </c>
      <c r="N252">
        <v>11</v>
      </c>
      <c r="O252">
        <v>3.7</v>
      </c>
      <c r="P252" t="s">
        <v>32</v>
      </c>
      <c r="Q252" t="s">
        <v>33</v>
      </c>
      <c r="R252" t="s">
        <v>54</v>
      </c>
      <c r="S252">
        <v>2</v>
      </c>
      <c r="T252">
        <v>2</v>
      </c>
      <c r="U252">
        <v>0</v>
      </c>
      <c r="V252" t="s">
        <v>35</v>
      </c>
      <c r="W252" t="s">
        <v>36</v>
      </c>
      <c r="X252" t="s">
        <v>63</v>
      </c>
      <c r="Y252" t="s">
        <v>33</v>
      </c>
      <c r="Z252">
        <v>4.2</v>
      </c>
      <c r="AA252">
        <f t="shared" si="9"/>
        <v>8</v>
      </c>
      <c r="AB252" t="str">
        <f t="shared" si="10"/>
        <v>No</v>
      </c>
      <c r="AC252" t="str">
        <f t="shared" si="11"/>
        <v>Efficient</v>
      </c>
    </row>
    <row r="253" spans="1:29" x14ac:dyDescent="0.3">
      <c r="A253" t="s">
        <v>374</v>
      </c>
      <c r="B253" s="1">
        <v>46091</v>
      </c>
      <c r="C253" s="1">
        <v>46093</v>
      </c>
      <c r="D253" s="1">
        <v>46096</v>
      </c>
      <c r="E253" t="s">
        <v>72</v>
      </c>
      <c r="F253" t="s">
        <v>73</v>
      </c>
      <c r="G253" t="s">
        <v>74</v>
      </c>
      <c r="H253">
        <v>824</v>
      </c>
      <c r="I253" t="s">
        <v>60</v>
      </c>
      <c r="J253">
        <v>6</v>
      </c>
      <c r="K253">
        <v>5768</v>
      </c>
      <c r="L253">
        <v>8</v>
      </c>
      <c r="M253" t="s">
        <v>97</v>
      </c>
      <c r="N253">
        <v>14</v>
      </c>
      <c r="O253">
        <v>4</v>
      </c>
      <c r="P253" t="s">
        <v>45</v>
      </c>
      <c r="Q253" t="s">
        <v>38</v>
      </c>
      <c r="R253" t="s">
        <v>67</v>
      </c>
      <c r="S253">
        <v>1</v>
      </c>
      <c r="T253">
        <v>3</v>
      </c>
      <c r="U253">
        <v>2</v>
      </c>
      <c r="V253" t="s">
        <v>46</v>
      </c>
      <c r="W253" t="s">
        <v>36</v>
      </c>
      <c r="X253" t="s">
        <v>63</v>
      </c>
      <c r="Y253" t="s">
        <v>38</v>
      </c>
      <c r="Z253">
        <v>4.3</v>
      </c>
      <c r="AA253">
        <f t="shared" si="9"/>
        <v>7</v>
      </c>
      <c r="AB253" t="str">
        <f t="shared" si="10"/>
        <v>Yes</v>
      </c>
      <c r="AC253" t="str">
        <f t="shared" si="11"/>
        <v>Needs Improvement</v>
      </c>
    </row>
    <row r="254" spans="1:29" x14ac:dyDescent="0.3">
      <c r="A254" t="s">
        <v>375</v>
      </c>
      <c r="B254" s="1">
        <v>46095</v>
      </c>
      <c r="C254" s="1">
        <v>46095</v>
      </c>
      <c r="D254" s="1">
        <v>46098</v>
      </c>
      <c r="E254" t="s">
        <v>92</v>
      </c>
      <c r="F254" t="s">
        <v>93</v>
      </c>
      <c r="G254" t="s">
        <v>94</v>
      </c>
      <c r="H254">
        <v>1520</v>
      </c>
      <c r="I254" t="s">
        <v>87</v>
      </c>
      <c r="J254">
        <v>5</v>
      </c>
      <c r="K254">
        <v>16720</v>
      </c>
      <c r="L254">
        <v>5</v>
      </c>
      <c r="M254" t="s">
        <v>243</v>
      </c>
      <c r="N254">
        <v>2</v>
      </c>
      <c r="O254">
        <v>3.4</v>
      </c>
      <c r="P254" t="s">
        <v>53</v>
      </c>
      <c r="Q254" t="s">
        <v>62</v>
      </c>
      <c r="R254" t="s">
        <v>34</v>
      </c>
      <c r="S254">
        <v>3</v>
      </c>
      <c r="T254">
        <v>3</v>
      </c>
      <c r="U254">
        <v>0</v>
      </c>
      <c r="V254" t="s">
        <v>35</v>
      </c>
      <c r="W254" t="s">
        <v>36</v>
      </c>
      <c r="X254" t="s">
        <v>47</v>
      </c>
      <c r="Y254" t="s">
        <v>33</v>
      </c>
      <c r="Z254">
        <v>3.1</v>
      </c>
      <c r="AA254">
        <f t="shared" si="9"/>
        <v>11</v>
      </c>
      <c r="AB254" t="str">
        <f t="shared" si="10"/>
        <v>No</v>
      </c>
      <c r="AC254" t="str">
        <f t="shared" si="11"/>
        <v>Efficient</v>
      </c>
    </row>
    <row r="255" spans="1:29" x14ac:dyDescent="0.3">
      <c r="A255" t="s">
        <v>376</v>
      </c>
      <c r="B255" s="1">
        <v>46047</v>
      </c>
      <c r="C255" s="1">
        <v>46048</v>
      </c>
      <c r="D255" s="1">
        <v>46050</v>
      </c>
      <c r="E255" t="s">
        <v>92</v>
      </c>
      <c r="F255" t="s">
        <v>93</v>
      </c>
      <c r="G255" t="s">
        <v>94</v>
      </c>
      <c r="H255">
        <v>1122</v>
      </c>
      <c r="I255" t="s">
        <v>30</v>
      </c>
      <c r="J255">
        <v>10</v>
      </c>
      <c r="K255">
        <v>12342</v>
      </c>
      <c r="L255">
        <v>7</v>
      </c>
      <c r="M255" t="s">
        <v>65</v>
      </c>
      <c r="N255">
        <v>10</v>
      </c>
      <c r="O255">
        <v>3.3</v>
      </c>
      <c r="P255" t="s">
        <v>66</v>
      </c>
      <c r="Q255" t="s">
        <v>62</v>
      </c>
      <c r="R255" t="s">
        <v>34</v>
      </c>
      <c r="S255">
        <v>2</v>
      </c>
      <c r="T255">
        <v>2</v>
      </c>
      <c r="U255">
        <v>0</v>
      </c>
      <c r="V255" t="s">
        <v>35</v>
      </c>
      <c r="W255" t="s">
        <v>68</v>
      </c>
      <c r="X255" t="s">
        <v>37</v>
      </c>
      <c r="Y255" t="s">
        <v>38</v>
      </c>
      <c r="Z255">
        <v>4.4000000000000004</v>
      </c>
      <c r="AA255">
        <f t="shared" si="9"/>
        <v>11</v>
      </c>
      <c r="AB255" t="str">
        <f t="shared" si="10"/>
        <v>No</v>
      </c>
      <c r="AC255" t="str">
        <f t="shared" si="11"/>
        <v>Efficient</v>
      </c>
    </row>
    <row r="256" spans="1:29" x14ac:dyDescent="0.3">
      <c r="A256" t="s">
        <v>377</v>
      </c>
      <c r="B256" s="1">
        <v>46105</v>
      </c>
      <c r="C256" s="1">
        <v>46106</v>
      </c>
      <c r="D256" s="1">
        <v>46112</v>
      </c>
      <c r="E256" t="s">
        <v>57</v>
      </c>
      <c r="F256" t="s">
        <v>58</v>
      </c>
      <c r="G256" t="s">
        <v>59</v>
      </c>
      <c r="H256">
        <v>936</v>
      </c>
      <c r="I256" t="s">
        <v>60</v>
      </c>
      <c r="J256">
        <v>6</v>
      </c>
      <c r="K256">
        <v>8424</v>
      </c>
      <c r="L256">
        <v>8</v>
      </c>
      <c r="M256" t="s">
        <v>128</v>
      </c>
      <c r="N256">
        <v>6</v>
      </c>
      <c r="O256">
        <v>4.5</v>
      </c>
      <c r="P256" t="s">
        <v>53</v>
      </c>
      <c r="Q256" t="s">
        <v>33</v>
      </c>
      <c r="R256" t="s">
        <v>67</v>
      </c>
      <c r="S256">
        <v>2</v>
      </c>
      <c r="T256">
        <v>6</v>
      </c>
      <c r="U256">
        <v>4</v>
      </c>
      <c r="V256" t="s">
        <v>46</v>
      </c>
      <c r="W256" t="s">
        <v>36</v>
      </c>
      <c r="X256" t="s">
        <v>47</v>
      </c>
      <c r="Y256" t="s">
        <v>38</v>
      </c>
      <c r="Z256">
        <v>4.8</v>
      </c>
      <c r="AA256">
        <f t="shared" si="9"/>
        <v>9</v>
      </c>
      <c r="AB256" t="str">
        <f t="shared" si="10"/>
        <v>Yes</v>
      </c>
      <c r="AC256" t="str">
        <f t="shared" si="11"/>
        <v>Needs Improvement</v>
      </c>
    </row>
    <row r="257" spans="1:29" x14ac:dyDescent="0.3">
      <c r="A257" t="s">
        <v>378</v>
      </c>
      <c r="B257" s="1">
        <v>46048</v>
      </c>
      <c r="C257" s="1">
        <v>46049</v>
      </c>
      <c r="D257" s="1">
        <v>46054</v>
      </c>
      <c r="E257" t="s">
        <v>72</v>
      </c>
      <c r="F257" t="s">
        <v>73</v>
      </c>
      <c r="G257" t="s">
        <v>74</v>
      </c>
      <c r="H257">
        <v>1689</v>
      </c>
      <c r="I257" t="s">
        <v>87</v>
      </c>
      <c r="J257">
        <v>1</v>
      </c>
      <c r="K257">
        <v>20268</v>
      </c>
      <c r="L257">
        <v>9</v>
      </c>
      <c r="M257" t="s">
        <v>222</v>
      </c>
      <c r="N257">
        <v>1</v>
      </c>
      <c r="O257">
        <v>4.5999999999999996</v>
      </c>
      <c r="P257" t="s">
        <v>53</v>
      </c>
      <c r="Q257" t="s">
        <v>33</v>
      </c>
      <c r="R257" t="s">
        <v>67</v>
      </c>
      <c r="S257">
        <v>3</v>
      </c>
      <c r="T257">
        <v>5</v>
      </c>
      <c r="U257">
        <v>2</v>
      </c>
      <c r="V257" t="s">
        <v>46</v>
      </c>
      <c r="W257" t="s">
        <v>55</v>
      </c>
      <c r="X257" t="s">
        <v>76</v>
      </c>
      <c r="Y257" t="s">
        <v>62</v>
      </c>
      <c r="Z257">
        <v>4.3</v>
      </c>
      <c r="AA257">
        <f t="shared" si="9"/>
        <v>12</v>
      </c>
      <c r="AB257" t="str">
        <f t="shared" si="10"/>
        <v>Yes</v>
      </c>
      <c r="AC257" t="str">
        <f t="shared" si="11"/>
        <v>Needs Improvement</v>
      </c>
    </row>
    <row r="258" spans="1:29" x14ac:dyDescent="0.3">
      <c r="A258" t="s">
        <v>379</v>
      </c>
      <c r="B258" s="1">
        <v>46042</v>
      </c>
      <c r="C258" s="1">
        <v>46043</v>
      </c>
      <c r="D258" s="1">
        <v>46046</v>
      </c>
      <c r="E258" t="s">
        <v>111</v>
      </c>
      <c r="F258" t="s">
        <v>27</v>
      </c>
      <c r="G258" t="s">
        <v>112</v>
      </c>
      <c r="H258">
        <v>657</v>
      </c>
      <c r="I258" t="s">
        <v>30</v>
      </c>
      <c r="J258">
        <v>3</v>
      </c>
      <c r="K258">
        <v>5913</v>
      </c>
      <c r="L258">
        <v>9</v>
      </c>
      <c r="M258" t="s">
        <v>186</v>
      </c>
      <c r="N258">
        <v>2</v>
      </c>
      <c r="O258">
        <v>3.8</v>
      </c>
      <c r="P258" t="s">
        <v>32</v>
      </c>
      <c r="Q258" t="s">
        <v>33</v>
      </c>
      <c r="R258" t="s">
        <v>67</v>
      </c>
      <c r="S258">
        <v>1</v>
      </c>
      <c r="T258">
        <v>3</v>
      </c>
      <c r="U258">
        <v>2</v>
      </c>
      <c r="V258" t="s">
        <v>46</v>
      </c>
      <c r="W258" t="s">
        <v>36</v>
      </c>
      <c r="X258" t="s">
        <v>95</v>
      </c>
      <c r="Y258" t="s">
        <v>38</v>
      </c>
      <c r="Z258">
        <v>3.4</v>
      </c>
      <c r="AA258">
        <f t="shared" si="9"/>
        <v>9</v>
      </c>
      <c r="AB258" t="str">
        <f t="shared" si="10"/>
        <v>Yes</v>
      </c>
      <c r="AC258" t="str">
        <f t="shared" si="11"/>
        <v>Needs Improvement</v>
      </c>
    </row>
    <row r="259" spans="1:29" x14ac:dyDescent="0.3">
      <c r="A259" t="s">
        <v>380</v>
      </c>
      <c r="B259" s="1">
        <v>46095</v>
      </c>
      <c r="C259" s="1">
        <v>46097</v>
      </c>
      <c r="D259" s="1">
        <v>46100</v>
      </c>
      <c r="E259" t="s">
        <v>82</v>
      </c>
      <c r="F259" t="s">
        <v>83</v>
      </c>
      <c r="G259" t="s">
        <v>84</v>
      </c>
      <c r="H259">
        <v>1707</v>
      </c>
      <c r="I259" t="s">
        <v>43</v>
      </c>
      <c r="J259">
        <v>6</v>
      </c>
      <c r="K259">
        <v>10242</v>
      </c>
      <c r="L259">
        <v>6</v>
      </c>
      <c r="M259" t="s">
        <v>190</v>
      </c>
      <c r="N259">
        <v>8</v>
      </c>
      <c r="O259">
        <v>3.5</v>
      </c>
      <c r="P259" t="s">
        <v>66</v>
      </c>
      <c r="Q259" t="s">
        <v>62</v>
      </c>
      <c r="R259" t="s">
        <v>67</v>
      </c>
      <c r="S259">
        <v>3</v>
      </c>
      <c r="T259">
        <v>3</v>
      </c>
      <c r="U259">
        <v>0</v>
      </c>
      <c r="V259" t="s">
        <v>35</v>
      </c>
      <c r="W259" t="s">
        <v>55</v>
      </c>
      <c r="X259" t="s">
        <v>47</v>
      </c>
      <c r="Y259" t="s">
        <v>62</v>
      </c>
      <c r="Z259">
        <v>3.9</v>
      </c>
      <c r="AA259">
        <f t="shared" ref="AA259:AA322" si="12">(K259/H259)</f>
        <v>6</v>
      </c>
      <c r="AB259" t="str">
        <f t="shared" ref="AB259:AB322" si="13">IF(U259&gt;0,"Yes","No")</f>
        <v>No</v>
      </c>
      <c r="AC259" t="str">
        <f t="shared" ref="AC259:AC322" si="14">IF(U259=0,"Efficient","Needs Improvement")</f>
        <v>Efficient</v>
      </c>
    </row>
    <row r="260" spans="1:29" x14ac:dyDescent="0.3">
      <c r="A260" t="s">
        <v>381</v>
      </c>
      <c r="B260" s="1">
        <v>46081</v>
      </c>
      <c r="C260" s="1">
        <v>46081</v>
      </c>
      <c r="D260" s="1">
        <v>46087</v>
      </c>
      <c r="E260" t="s">
        <v>27</v>
      </c>
      <c r="F260" t="s">
        <v>28</v>
      </c>
      <c r="G260" t="s">
        <v>29</v>
      </c>
      <c r="H260">
        <v>1528</v>
      </c>
      <c r="I260" t="s">
        <v>30</v>
      </c>
      <c r="J260">
        <v>2</v>
      </c>
      <c r="K260">
        <v>16808</v>
      </c>
      <c r="L260">
        <v>9</v>
      </c>
      <c r="M260" t="s">
        <v>222</v>
      </c>
      <c r="N260">
        <v>14</v>
      </c>
      <c r="O260">
        <v>3.5</v>
      </c>
      <c r="P260" t="s">
        <v>66</v>
      </c>
      <c r="Q260" t="s">
        <v>33</v>
      </c>
      <c r="R260" t="s">
        <v>54</v>
      </c>
      <c r="S260">
        <v>3</v>
      </c>
      <c r="T260">
        <v>6</v>
      </c>
      <c r="U260">
        <v>3</v>
      </c>
      <c r="V260" t="s">
        <v>46</v>
      </c>
      <c r="W260" t="s">
        <v>68</v>
      </c>
      <c r="X260" t="s">
        <v>76</v>
      </c>
      <c r="Y260" t="s">
        <v>33</v>
      </c>
      <c r="Z260">
        <v>4.8</v>
      </c>
      <c r="AA260">
        <f t="shared" si="12"/>
        <v>11</v>
      </c>
      <c r="AB260" t="str">
        <f t="shared" si="13"/>
        <v>Yes</v>
      </c>
      <c r="AC260" t="str">
        <f t="shared" si="14"/>
        <v>Needs Improvement</v>
      </c>
    </row>
    <row r="261" spans="1:29" x14ac:dyDescent="0.3">
      <c r="A261" t="s">
        <v>382</v>
      </c>
      <c r="B261" s="1">
        <v>46032</v>
      </c>
      <c r="C261" s="1">
        <v>46034</v>
      </c>
      <c r="D261" s="1">
        <v>46037</v>
      </c>
      <c r="E261" t="s">
        <v>57</v>
      </c>
      <c r="F261" t="s">
        <v>58</v>
      </c>
      <c r="G261" t="s">
        <v>59</v>
      </c>
      <c r="H261">
        <v>970</v>
      </c>
      <c r="I261" t="s">
        <v>60</v>
      </c>
      <c r="J261">
        <v>9</v>
      </c>
      <c r="K261">
        <v>8730</v>
      </c>
      <c r="L261">
        <v>7</v>
      </c>
      <c r="M261" t="s">
        <v>178</v>
      </c>
      <c r="N261">
        <v>8</v>
      </c>
      <c r="O261">
        <v>4.5999999999999996</v>
      </c>
      <c r="P261" t="s">
        <v>32</v>
      </c>
      <c r="Q261" t="s">
        <v>33</v>
      </c>
      <c r="R261" t="s">
        <v>67</v>
      </c>
      <c r="S261">
        <v>2</v>
      </c>
      <c r="T261">
        <v>3</v>
      </c>
      <c r="U261">
        <v>1</v>
      </c>
      <c r="V261" t="s">
        <v>46</v>
      </c>
      <c r="W261" t="s">
        <v>36</v>
      </c>
      <c r="X261" t="s">
        <v>63</v>
      </c>
      <c r="Y261" t="s">
        <v>33</v>
      </c>
      <c r="Z261">
        <v>4.3</v>
      </c>
      <c r="AA261">
        <f t="shared" si="12"/>
        <v>9</v>
      </c>
      <c r="AB261" t="str">
        <f t="shared" si="13"/>
        <v>Yes</v>
      </c>
      <c r="AC261" t="str">
        <f t="shared" si="14"/>
        <v>Needs Improvement</v>
      </c>
    </row>
    <row r="262" spans="1:29" x14ac:dyDescent="0.3">
      <c r="A262" t="s">
        <v>383</v>
      </c>
      <c r="B262" s="1">
        <v>46050</v>
      </c>
      <c r="C262" s="1">
        <v>46050</v>
      </c>
      <c r="D262" s="1">
        <v>46054</v>
      </c>
      <c r="E262" t="s">
        <v>82</v>
      </c>
      <c r="F262" t="s">
        <v>83</v>
      </c>
      <c r="G262" t="s">
        <v>84</v>
      </c>
      <c r="H262">
        <v>522</v>
      </c>
      <c r="I262" t="s">
        <v>30</v>
      </c>
      <c r="J262">
        <v>10</v>
      </c>
      <c r="K262">
        <v>5742</v>
      </c>
      <c r="L262">
        <v>5</v>
      </c>
      <c r="M262" t="s">
        <v>103</v>
      </c>
      <c r="N262">
        <v>4</v>
      </c>
      <c r="O262">
        <v>3.8</v>
      </c>
      <c r="P262" t="s">
        <v>66</v>
      </c>
      <c r="Q262" t="s">
        <v>33</v>
      </c>
      <c r="R262" t="s">
        <v>67</v>
      </c>
      <c r="S262">
        <v>1</v>
      </c>
      <c r="T262">
        <v>4</v>
      </c>
      <c r="U262">
        <v>3</v>
      </c>
      <c r="V262" t="s">
        <v>46</v>
      </c>
      <c r="W262" t="s">
        <v>68</v>
      </c>
      <c r="X262" t="s">
        <v>37</v>
      </c>
      <c r="Y262" t="s">
        <v>33</v>
      </c>
      <c r="Z262">
        <v>3.3</v>
      </c>
      <c r="AA262">
        <f t="shared" si="12"/>
        <v>11</v>
      </c>
      <c r="AB262" t="str">
        <f t="shared" si="13"/>
        <v>Yes</v>
      </c>
      <c r="AC262" t="str">
        <f t="shared" si="14"/>
        <v>Needs Improvement</v>
      </c>
    </row>
    <row r="263" spans="1:29" x14ac:dyDescent="0.3">
      <c r="A263" t="s">
        <v>384</v>
      </c>
      <c r="B263" s="1">
        <v>46129</v>
      </c>
      <c r="C263" s="1">
        <v>46130</v>
      </c>
      <c r="D263" s="1">
        <v>46131</v>
      </c>
      <c r="E263" t="s">
        <v>27</v>
      </c>
      <c r="F263" t="s">
        <v>28</v>
      </c>
      <c r="G263" t="s">
        <v>29</v>
      </c>
      <c r="H263">
        <v>699</v>
      </c>
      <c r="I263" t="s">
        <v>87</v>
      </c>
      <c r="J263">
        <v>3</v>
      </c>
      <c r="K263">
        <v>6990</v>
      </c>
      <c r="L263">
        <v>9</v>
      </c>
      <c r="M263" t="s">
        <v>101</v>
      </c>
      <c r="N263">
        <v>3</v>
      </c>
      <c r="O263">
        <v>4.3</v>
      </c>
      <c r="P263" t="s">
        <v>32</v>
      </c>
      <c r="Q263" t="s">
        <v>33</v>
      </c>
      <c r="R263" t="s">
        <v>67</v>
      </c>
      <c r="S263">
        <v>1</v>
      </c>
      <c r="T263">
        <v>1</v>
      </c>
      <c r="U263">
        <v>0</v>
      </c>
      <c r="V263" t="s">
        <v>35</v>
      </c>
      <c r="W263" t="s">
        <v>68</v>
      </c>
      <c r="X263" t="s">
        <v>37</v>
      </c>
      <c r="Y263" t="s">
        <v>33</v>
      </c>
      <c r="Z263">
        <v>4.9000000000000004</v>
      </c>
      <c r="AA263">
        <f t="shared" si="12"/>
        <v>10</v>
      </c>
      <c r="AB263" t="str">
        <f t="shared" si="13"/>
        <v>No</v>
      </c>
      <c r="AC263" t="str">
        <f t="shared" si="14"/>
        <v>Efficient</v>
      </c>
    </row>
    <row r="264" spans="1:29" x14ac:dyDescent="0.3">
      <c r="A264" t="s">
        <v>385</v>
      </c>
      <c r="B264" s="1">
        <v>46099</v>
      </c>
      <c r="C264" s="1">
        <v>46101</v>
      </c>
      <c r="D264" s="1">
        <v>46105</v>
      </c>
      <c r="E264" t="s">
        <v>27</v>
      </c>
      <c r="F264" t="s">
        <v>28</v>
      </c>
      <c r="G264" t="s">
        <v>29</v>
      </c>
      <c r="H264">
        <v>1673</v>
      </c>
      <c r="I264" t="s">
        <v>30</v>
      </c>
      <c r="J264">
        <v>2</v>
      </c>
      <c r="K264">
        <v>11711</v>
      </c>
      <c r="L264">
        <v>8</v>
      </c>
      <c r="M264" t="s">
        <v>269</v>
      </c>
      <c r="N264">
        <v>8</v>
      </c>
      <c r="O264">
        <v>4.7</v>
      </c>
      <c r="P264" t="s">
        <v>45</v>
      </c>
      <c r="Q264" t="s">
        <v>38</v>
      </c>
      <c r="R264" t="s">
        <v>34</v>
      </c>
      <c r="S264">
        <v>3</v>
      </c>
      <c r="T264">
        <v>4</v>
      </c>
      <c r="U264">
        <v>1</v>
      </c>
      <c r="V264" t="s">
        <v>46</v>
      </c>
      <c r="W264" t="s">
        <v>55</v>
      </c>
      <c r="X264" t="s">
        <v>37</v>
      </c>
      <c r="Y264" t="s">
        <v>33</v>
      </c>
      <c r="Z264">
        <v>4.3</v>
      </c>
      <c r="AA264">
        <f t="shared" si="12"/>
        <v>7</v>
      </c>
      <c r="AB264" t="str">
        <f t="shared" si="13"/>
        <v>Yes</v>
      </c>
      <c r="AC264" t="str">
        <f t="shared" si="14"/>
        <v>Needs Improvement</v>
      </c>
    </row>
    <row r="265" spans="1:29" x14ac:dyDescent="0.3">
      <c r="A265" t="s">
        <v>386</v>
      </c>
      <c r="B265" s="1">
        <v>46056</v>
      </c>
      <c r="C265" s="1">
        <v>46056</v>
      </c>
      <c r="D265" s="1">
        <v>46058</v>
      </c>
      <c r="E265" t="s">
        <v>49</v>
      </c>
      <c r="F265" t="s">
        <v>50</v>
      </c>
      <c r="G265" t="s">
        <v>51</v>
      </c>
      <c r="H265">
        <v>1128</v>
      </c>
      <c r="I265" t="s">
        <v>87</v>
      </c>
      <c r="J265">
        <v>4</v>
      </c>
      <c r="K265">
        <v>10152</v>
      </c>
      <c r="L265">
        <v>8</v>
      </c>
      <c r="M265" t="s">
        <v>147</v>
      </c>
      <c r="N265">
        <v>2</v>
      </c>
      <c r="O265">
        <v>3</v>
      </c>
      <c r="P265" t="s">
        <v>53</v>
      </c>
      <c r="Q265" t="s">
        <v>38</v>
      </c>
      <c r="R265" t="s">
        <v>54</v>
      </c>
      <c r="S265">
        <v>2</v>
      </c>
      <c r="T265">
        <v>2</v>
      </c>
      <c r="U265">
        <v>0</v>
      </c>
      <c r="V265" t="s">
        <v>35</v>
      </c>
      <c r="W265" t="s">
        <v>68</v>
      </c>
      <c r="X265" t="s">
        <v>76</v>
      </c>
      <c r="Y265" t="s">
        <v>33</v>
      </c>
      <c r="Z265">
        <v>3.1</v>
      </c>
      <c r="AA265">
        <f t="shared" si="12"/>
        <v>9</v>
      </c>
      <c r="AB265" t="str">
        <f t="shared" si="13"/>
        <v>No</v>
      </c>
      <c r="AC265" t="str">
        <f t="shared" si="14"/>
        <v>Efficient</v>
      </c>
    </row>
    <row r="266" spans="1:29" x14ac:dyDescent="0.3">
      <c r="A266" t="s">
        <v>387</v>
      </c>
      <c r="B266" s="1">
        <v>46123</v>
      </c>
      <c r="C266" s="1">
        <v>46125</v>
      </c>
      <c r="D266" s="1">
        <v>46129</v>
      </c>
      <c r="E266" t="s">
        <v>72</v>
      </c>
      <c r="F266" t="s">
        <v>73</v>
      </c>
      <c r="G266" t="s">
        <v>74</v>
      </c>
      <c r="H266">
        <v>390</v>
      </c>
      <c r="I266" t="s">
        <v>43</v>
      </c>
      <c r="J266">
        <v>3</v>
      </c>
      <c r="K266">
        <v>3900</v>
      </c>
      <c r="L266">
        <v>9</v>
      </c>
      <c r="M266" t="s">
        <v>158</v>
      </c>
      <c r="N266">
        <v>15</v>
      </c>
      <c r="O266">
        <v>4.9000000000000004</v>
      </c>
      <c r="P266" t="s">
        <v>53</v>
      </c>
      <c r="Q266" t="s">
        <v>33</v>
      </c>
      <c r="R266" t="s">
        <v>34</v>
      </c>
      <c r="S266">
        <v>1</v>
      </c>
      <c r="T266">
        <v>4</v>
      </c>
      <c r="U266">
        <v>3</v>
      </c>
      <c r="V266" t="s">
        <v>46</v>
      </c>
      <c r="W266" t="s">
        <v>36</v>
      </c>
      <c r="X266" t="s">
        <v>95</v>
      </c>
      <c r="Y266" t="s">
        <v>62</v>
      </c>
      <c r="Z266">
        <v>3.7</v>
      </c>
      <c r="AA266">
        <f t="shared" si="12"/>
        <v>10</v>
      </c>
      <c r="AB266" t="str">
        <f t="shared" si="13"/>
        <v>Yes</v>
      </c>
      <c r="AC266" t="str">
        <f t="shared" si="14"/>
        <v>Needs Improvement</v>
      </c>
    </row>
    <row r="267" spans="1:29" x14ac:dyDescent="0.3">
      <c r="A267" t="s">
        <v>388</v>
      </c>
      <c r="B267" s="1">
        <v>46125</v>
      </c>
      <c r="C267" s="1">
        <v>46127</v>
      </c>
      <c r="D267" s="1">
        <v>46129</v>
      </c>
      <c r="E267" t="s">
        <v>72</v>
      </c>
      <c r="F267" t="s">
        <v>73</v>
      </c>
      <c r="G267" t="s">
        <v>74</v>
      </c>
      <c r="H267">
        <v>1071</v>
      </c>
      <c r="I267" t="s">
        <v>60</v>
      </c>
      <c r="J267">
        <v>5</v>
      </c>
      <c r="K267">
        <v>9639</v>
      </c>
      <c r="L267">
        <v>6</v>
      </c>
      <c r="M267" t="s">
        <v>109</v>
      </c>
      <c r="N267">
        <v>5</v>
      </c>
      <c r="O267">
        <v>4.2</v>
      </c>
      <c r="P267" t="s">
        <v>53</v>
      </c>
      <c r="Q267" t="s">
        <v>62</v>
      </c>
      <c r="R267" t="s">
        <v>67</v>
      </c>
      <c r="S267">
        <v>2</v>
      </c>
      <c r="T267">
        <v>2</v>
      </c>
      <c r="U267">
        <v>0</v>
      </c>
      <c r="V267" t="s">
        <v>35</v>
      </c>
      <c r="W267" t="s">
        <v>55</v>
      </c>
      <c r="X267" t="s">
        <v>76</v>
      </c>
      <c r="Y267" t="s">
        <v>38</v>
      </c>
      <c r="Z267">
        <v>4</v>
      </c>
      <c r="AA267">
        <f t="shared" si="12"/>
        <v>9</v>
      </c>
      <c r="AB267" t="str">
        <f t="shared" si="13"/>
        <v>No</v>
      </c>
      <c r="AC267" t="str">
        <f t="shared" si="14"/>
        <v>Efficient</v>
      </c>
    </row>
    <row r="268" spans="1:29" x14ac:dyDescent="0.3">
      <c r="A268" t="s">
        <v>389</v>
      </c>
      <c r="B268" s="1">
        <v>46071</v>
      </c>
      <c r="C268" s="1">
        <v>46073</v>
      </c>
      <c r="D268" s="1">
        <v>46078</v>
      </c>
      <c r="E268" t="s">
        <v>40</v>
      </c>
      <c r="F268" t="s">
        <v>41</v>
      </c>
      <c r="G268" t="s">
        <v>42</v>
      </c>
      <c r="H268">
        <v>1608</v>
      </c>
      <c r="I268" t="s">
        <v>30</v>
      </c>
      <c r="J268">
        <v>7</v>
      </c>
      <c r="K268">
        <v>12864</v>
      </c>
      <c r="L268">
        <v>5</v>
      </c>
      <c r="M268" t="s">
        <v>70</v>
      </c>
      <c r="N268">
        <v>7</v>
      </c>
      <c r="O268">
        <v>4.3</v>
      </c>
      <c r="P268" t="s">
        <v>66</v>
      </c>
      <c r="Q268" t="s">
        <v>62</v>
      </c>
      <c r="R268" t="s">
        <v>54</v>
      </c>
      <c r="S268">
        <v>3</v>
      </c>
      <c r="T268">
        <v>5</v>
      </c>
      <c r="U268">
        <v>2</v>
      </c>
      <c r="V268" t="s">
        <v>46</v>
      </c>
      <c r="W268" t="s">
        <v>55</v>
      </c>
      <c r="X268" t="s">
        <v>47</v>
      </c>
      <c r="Y268" t="s">
        <v>33</v>
      </c>
      <c r="Z268">
        <v>3.8</v>
      </c>
      <c r="AA268">
        <f t="shared" si="12"/>
        <v>8</v>
      </c>
      <c r="AB268" t="str">
        <f t="shared" si="13"/>
        <v>Yes</v>
      </c>
      <c r="AC268" t="str">
        <f t="shared" si="14"/>
        <v>Needs Improvement</v>
      </c>
    </row>
    <row r="269" spans="1:29" x14ac:dyDescent="0.3">
      <c r="A269" t="s">
        <v>390</v>
      </c>
      <c r="B269" s="1">
        <v>46049</v>
      </c>
      <c r="C269" s="1">
        <v>46050</v>
      </c>
      <c r="D269" s="1">
        <v>46052</v>
      </c>
      <c r="E269" t="s">
        <v>92</v>
      </c>
      <c r="F269" t="s">
        <v>93</v>
      </c>
      <c r="G269" t="s">
        <v>94</v>
      </c>
      <c r="H269">
        <v>566</v>
      </c>
      <c r="I269" t="s">
        <v>30</v>
      </c>
      <c r="J269">
        <v>9</v>
      </c>
      <c r="K269">
        <v>5660</v>
      </c>
      <c r="L269">
        <v>8</v>
      </c>
      <c r="M269" t="s">
        <v>243</v>
      </c>
      <c r="N269">
        <v>5</v>
      </c>
      <c r="O269">
        <v>4.2</v>
      </c>
      <c r="P269" t="s">
        <v>53</v>
      </c>
      <c r="Q269" t="s">
        <v>33</v>
      </c>
      <c r="R269" t="s">
        <v>67</v>
      </c>
      <c r="S269">
        <v>1</v>
      </c>
      <c r="T269">
        <v>2</v>
      </c>
      <c r="U269">
        <v>1</v>
      </c>
      <c r="V269" t="s">
        <v>46</v>
      </c>
      <c r="W269" t="s">
        <v>68</v>
      </c>
      <c r="X269" t="s">
        <v>37</v>
      </c>
      <c r="Y269" t="s">
        <v>38</v>
      </c>
      <c r="Z269">
        <v>3.4</v>
      </c>
      <c r="AA269">
        <f t="shared" si="12"/>
        <v>10</v>
      </c>
      <c r="AB269" t="str">
        <f t="shared" si="13"/>
        <v>Yes</v>
      </c>
      <c r="AC269" t="str">
        <f t="shared" si="14"/>
        <v>Needs Improvement</v>
      </c>
    </row>
    <row r="270" spans="1:29" x14ac:dyDescent="0.3">
      <c r="A270" t="s">
        <v>391</v>
      </c>
      <c r="B270" s="1">
        <v>46074</v>
      </c>
      <c r="C270" s="1">
        <v>46075</v>
      </c>
      <c r="D270" s="1">
        <v>46076</v>
      </c>
      <c r="E270" t="s">
        <v>27</v>
      </c>
      <c r="F270" t="s">
        <v>28</v>
      </c>
      <c r="G270" t="s">
        <v>29</v>
      </c>
      <c r="H270">
        <v>529</v>
      </c>
      <c r="I270" t="s">
        <v>43</v>
      </c>
      <c r="J270">
        <v>1</v>
      </c>
      <c r="K270">
        <v>6348</v>
      </c>
      <c r="L270">
        <v>5</v>
      </c>
      <c r="M270" t="s">
        <v>70</v>
      </c>
      <c r="N270">
        <v>8</v>
      </c>
      <c r="O270">
        <v>4.9000000000000004</v>
      </c>
      <c r="P270" t="s">
        <v>53</v>
      </c>
      <c r="Q270" t="s">
        <v>38</v>
      </c>
      <c r="R270" t="s">
        <v>67</v>
      </c>
      <c r="S270">
        <v>1</v>
      </c>
      <c r="T270">
        <v>1</v>
      </c>
      <c r="U270">
        <v>0</v>
      </c>
      <c r="V270" t="s">
        <v>35</v>
      </c>
      <c r="W270" t="s">
        <v>68</v>
      </c>
      <c r="X270" t="s">
        <v>63</v>
      </c>
      <c r="Y270" t="s">
        <v>33</v>
      </c>
      <c r="Z270">
        <v>3.1</v>
      </c>
      <c r="AA270">
        <f t="shared" si="12"/>
        <v>12</v>
      </c>
      <c r="AB270" t="str">
        <f t="shared" si="13"/>
        <v>No</v>
      </c>
      <c r="AC270" t="str">
        <f t="shared" si="14"/>
        <v>Efficient</v>
      </c>
    </row>
    <row r="271" spans="1:29" x14ac:dyDescent="0.3">
      <c r="A271" t="s">
        <v>392</v>
      </c>
      <c r="B271" s="1">
        <v>46072</v>
      </c>
      <c r="C271" s="1">
        <v>46073</v>
      </c>
      <c r="D271" s="1">
        <v>46077</v>
      </c>
      <c r="E271" t="s">
        <v>57</v>
      </c>
      <c r="F271" t="s">
        <v>58</v>
      </c>
      <c r="G271" t="s">
        <v>59</v>
      </c>
      <c r="H271">
        <v>1657</v>
      </c>
      <c r="I271" t="s">
        <v>87</v>
      </c>
      <c r="J271">
        <v>3</v>
      </c>
      <c r="K271">
        <v>18227</v>
      </c>
      <c r="L271">
        <v>8</v>
      </c>
      <c r="M271" t="s">
        <v>128</v>
      </c>
      <c r="N271">
        <v>1</v>
      </c>
      <c r="O271">
        <v>3.4</v>
      </c>
      <c r="P271" t="s">
        <v>66</v>
      </c>
      <c r="Q271" t="s">
        <v>38</v>
      </c>
      <c r="R271" t="s">
        <v>67</v>
      </c>
      <c r="S271">
        <v>3</v>
      </c>
      <c r="T271">
        <v>4</v>
      </c>
      <c r="U271">
        <v>1</v>
      </c>
      <c r="V271" t="s">
        <v>46</v>
      </c>
      <c r="W271" t="s">
        <v>55</v>
      </c>
      <c r="X271" t="s">
        <v>37</v>
      </c>
      <c r="Y271" t="s">
        <v>33</v>
      </c>
      <c r="Z271">
        <v>3.1</v>
      </c>
      <c r="AA271">
        <f t="shared" si="12"/>
        <v>11</v>
      </c>
      <c r="AB271" t="str">
        <f t="shared" si="13"/>
        <v>Yes</v>
      </c>
      <c r="AC271" t="str">
        <f t="shared" si="14"/>
        <v>Needs Improvement</v>
      </c>
    </row>
    <row r="272" spans="1:29" x14ac:dyDescent="0.3">
      <c r="A272" t="s">
        <v>393</v>
      </c>
      <c r="B272" s="1">
        <v>46053</v>
      </c>
      <c r="C272" s="1">
        <v>46055</v>
      </c>
      <c r="D272" s="1">
        <v>46058</v>
      </c>
      <c r="E272" t="s">
        <v>27</v>
      </c>
      <c r="F272" t="s">
        <v>28</v>
      </c>
      <c r="G272" t="s">
        <v>29</v>
      </c>
      <c r="H272">
        <v>522</v>
      </c>
      <c r="I272" t="s">
        <v>87</v>
      </c>
      <c r="J272">
        <v>5</v>
      </c>
      <c r="K272">
        <v>6264</v>
      </c>
      <c r="L272">
        <v>8</v>
      </c>
      <c r="M272" t="s">
        <v>178</v>
      </c>
      <c r="N272">
        <v>11</v>
      </c>
      <c r="O272">
        <v>3.8</v>
      </c>
      <c r="P272" t="s">
        <v>45</v>
      </c>
      <c r="Q272" t="s">
        <v>33</v>
      </c>
      <c r="R272" t="s">
        <v>67</v>
      </c>
      <c r="S272">
        <v>1</v>
      </c>
      <c r="T272">
        <v>3</v>
      </c>
      <c r="U272">
        <v>2</v>
      </c>
      <c r="V272" t="s">
        <v>46</v>
      </c>
      <c r="W272" t="s">
        <v>68</v>
      </c>
      <c r="X272" t="s">
        <v>76</v>
      </c>
      <c r="Y272" t="s">
        <v>33</v>
      </c>
      <c r="Z272">
        <v>3.7</v>
      </c>
      <c r="AA272">
        <f t="shared" si="12"/>
        <v>12</v>
      </c>
      <c r="AB272" t="str">
        <f t="shared" si="13"/>
        <v>Yes</v>
      </c>
      <c r="AC272" t="str">
        <f t="shared" si="14"/>
        <v>Needs Improvement</v>
      </c>
    </row>
    <row r="273" spans="1:29" x14ac:dyDescent="0.3">
      <c r="A273" t="s">
        <v>394</v>
      </c>
      <c r="B273" s="1">
        <v>46127</v>
      </c>
      <c r="C273" s="1">
        <v>46128</v>
      </c>
      <c r="D273" s="1">
        <v>46133</v>
      </c>
      <c r="E273" t="s">
        <v>40</v>
      </c>
      <c r="F273" t="s">
        <v>41</v>
      </c>
      <c r="G273" t="s">
        <v>42</v>
      </c>
      <c r="H273">
        <v>1441</v>
      </c>
      <c r="I273" t="s">
        <v>60</v>
      </c>
      <c r="J273">
        <v>8</v>
      </c>
      <c r="K273">
        <v>12969</v>
      </c>
      <c r="L273">
        <v>9</v>
      </c>
      <c r="M273" t="s">
        <v>158</v>
      </c>
      <c r="N273">
        <v>5</v>
      </c>
      <c r="O273">
        <v>3.4</v>
      </c>
      <c r="P273" t="s">
        <v>32</v>
      </c>
      <c r="Q273" t="s">
        <v>33</v>
      </c>
      <c r="R273" t="s">
        <v>67</v>
      </c>
      <c r="S273">
        <v>3</v>
      </c>
      <c r="T273">
        <v>5</v>
      </c>
      <c r="U273">
        <v>2</v>
      </c>
      <c r="V273" t="s">
        <v>46</v>
      </c>
      <c r="W273" t="s">
        <v>36</v>
      </c>
      <c r="X273" t="s">
        <v>76</v>
      </c>
      <c r="Y273" t="s">
        <v>62</v>
      </c>
      <c r="Z273">
        <v>4.8</v>
      </c>
      <c r="AA273">
        <f t="shared" si="12"/>
        <v>9</v>
      </c>
      <c r="AB273" t="str">
        <f t="shared" si="13"/>
        <v>Yes</v>
      </c>
      <c r="AC273" t="str">
        <f t="shared" si="14"/>
        <v>Needs Improvement</v>
      </c>
    </row>
    <row r="274" spans="1:29" x14ac:dyDescent="0.3">
      <c r="A274" t="s">
        <v>395</v>
      </c>
      <c r="B274" s="1">
        <v>46127</v>
      </c>
      <c r="C274" s="1">
        <v>46129</v>
      </c>
      <c r="D274" s="1">
        <v>46132</v>
      </c>
      <c r="E274" t="s">
        <v>57</v>
      </c>
      <c r="F274" t="s">
        <v>58</v>
      </c>
      <c r="G274" t="s">
        <v>59</v>
      </c>
      <c r="H274">
        <v>1621</v>
      </c>
      <c r="I274" t="s">
        <v>43</v>
      </c>
      <c r="J274">
        <v>7</v>
      </c>
      <c r="K274">
        <v>16210</v>
      </c>
      <c r="L274">
        <v>8</v>
      </c>
      <c r="M274" t="s">
        <v>170</v>
      </c>
      <c r="N274">
        <v>4</v>
      </c>
      <c r="O274">
        <v>4.5</v>
      </c>
      <c r="P274" t="s">
        <v>53</v>
      </c>
      <c r="Q274" t="s">
        <v>33</v>
      </c>
      <c r="R274" t="s">
        <v>34</v>
      </c>
      <c r="S274">
        <v>3</v>
      </c>
      <c r="T274">
        <v>3</v>
      </c>
      <c r="U274">
        <v>0</v>
      </c>
      <c r="V274" t="s">
        <v>35</v>
      </c>
      <c r="W274" t="s">
        <v>68</v>
      </c>
      <c r="X274" t="s">
        <v>63</v>
      </c>
      <c r="Y274" t="s">
        <v>62</v>
      </c>
      <c r="Z274">
        <v>4.3</v>
      </c>
      <c r="AA274">
        <f t="shared" si="12"/>
        <v>10</v>
      </c>
      <c r="AB274" t="str">
        <f t="shared" si="13"/>
        <v>No</v>
      </c>
      <c r="AC274" t="str">
        <f t="shared" si="14"/>
        <v>Efficient</v>
      </c>
    </row>
    <row r="275" spans="1:29" x14ac:dyDescent="0.3">
      <c r="A275" t="s">
        <v>396</v>
      </c>
      <c r="B275" s="1">
        <v>46051</v>
      </c>
      <c r="C275" s="1">
        <v>46053</v>
      </c>
      <c r="D275" s="1">
        <v>46056</v>
      </c>
      <c r="E275" t="s">
        <v>40</v>
      </c>
      <c r="F275" t="s">
        <v>41</v>
      </c>
      <c r="G275" t="s">
        <v>42</v>
      </c>
      <c r="H275">
        <v>846</v>
      </c>
      <c r="I275" t="s">
        <v>43</v>
      </c>
      <c r="J275">
        <v>6</v>
      </c>
      <c r="K275">
        <v>8460</v>
      </c>
      <c r="L275">
        <v>9</v>
      </c>
      <c r="M275" t="s">
        <v>158</v>
      </c>
      <c r="N275">
        <v>12</v>
      </c>
      <c r="O275">
        <v>4.7</v>
      </c>
      <c r="P275" t="s">
        <v>45</v>
      </c>
      <c r="Q275" t="s">
        <v>62</v>
      </c>
      <c r="R275" t="s">
        <v>67</v>
      </c>
      <c r="S275">
        <v>1</v>
      </c>
      <c r="T275">
        <v>3</v>
      </c>
      <c r="U275">
        <v>2</v>
      </c>
      <c r="V275" t="s">
        <v>46</v>
      </c>
      <c r="W275" t="s">
        <v>55</v>
      </c>
      <c r="X275" t="s">
        <v>47</v>
      </c>
      <c r="Y275" t="s">
        <v>38</v>
      </c>
      <c r="Z275">
        <v>4.0999999999999996</v>
      </c>
      <c r="AA275">
        <f t="shared" si="12"/>
        <v>10</v>
      </c>
      <c r="AB275" t="str">
        <f t="shared" si="13"/>
        <v>Yes</v>
      </c>
      <c r="AC275" t="str">
        <f t="shared" si="14"/>
        <v>Needs Improvement</v>
      </c>
    </row>
    <row r="276" spans="1:29" x14ac:dyDescent="0.3">
      <c r="A276" t="s">
        <v>397</v>
      </c>
      <c r="B276" s="1">
        <v>46045</v>
      </c>
      <c r="C276" s="1">
        <v>46046</v>
      </c>
      <c r="D276" s="1">
        <v>46049</v>
      </c>
      <c r="E276" t="s">
        <v>49</v>
      </c>
      <c r="F276" t="s">
        <v>50</v>
      </c>
      <c r="G276" t="s">
        <v>51</v>
      </c>
      <c r="H276">
        <v>924</v>
      </c>
      <c r="I276" t="s">
        <v>60</v>
      </c>
      <c r="J276">
        <v>10</v>
      </c>
      <c r="K276">
        <v>7392</v>
      </c>
      <c r="L276">
        <v>6</v>
      </c>
      <c r="M276" t="s">
        <v>31</v>
      </c>
      <c r="N276">
        <v>11</v>
      </c>
      <c r="O276">
        <v>4.9000000000000004</v>
      </c>
      <c r="P276" t="s">
        <v>45</v>
      </c>
      <c r="Q276" t="s">
        <v>62</v>
      </c>
      <c r="R276" t="s">
        <v>54</v>
      </c>
      <c r="S276">
        <v>2</v>
      </c>
      <c r="T276">
        <v>3</v>
      </c>
      <c r="U276">
        <v>1</v>
      </c>
      <c r="V276" t="s">
        <v>46</v>
      </c>
      <c r="W276" t="s">
        <v>55</v>
      </c>
      <c r="X276" t="s">
        <v>37</v>
      </c>
      <c r="Y276" t="s">
        <v>62</v>
      </c>
      <c r="Z276">
        <v>3.4</v>
      </c>
      <c r="AA276">
        <f t="shared" si="12"/>
        <v>8</v>
      </c>
      <c r="AB276" t="str">
        <f t="shared" si="13"/>
        <v>Yes</v>
      </c>
      <c r="AC276" t="str">
        <f t="shared" si="14"/>
        <v>Needs Improvement</v>
      </c>
    </row>
    <row r="277" spans="1:29" x14ac:dyDescent="0.3">
      <c r="A277" t="s">
        <v>398</v>
      </c>
      <c r="B277" s="1">
        <v>46048</v>
      </c>
      <c r="C277" s="1">
        <v>46048</v>
      </c>
      <c r="D277" s="1">
        <v>46050</v>
      </c>
      <c r="E277" t="s">
        <v>49</v>
      </c>
      <c r="F277" t="s">
        <v>50</v>
      </c>
      <c r="G277" t="s">
        <v>51</v>
      </c>
      <c r="H277">
        <v>519</v>
      </c>
      <c r="I277" t="s">
        <v>87</v>
      </c>
      <c r="J277">
        <v>2</v>
      </c>
      <c r="K277">
        <v>3114</v>
      </c>
      <c r="L277">
        <v>10</v>
      </c>
      <c r="M277" t="s">
        <v>103</v>
      </c>
      <c r="N277">
        <v>8</v>
      </c>
      <c r="O277">
        <v>4.2</v>
      </c>
      <c r="P277" t="s">
        <v>32</v>
      </c>
      <c r="Q277" t="s">
        <v>62</v>
      </c>
      <c r="R277" t="s">
        <v>34</v>
      </c>
      <c r="S277">
        <v>1</v>
      </c>
      <c r="T277">
        <v>2</v>
      </c>
      <c r="U277">
        <v>1</v>
      </c>
      <c r="V277" t="s">
        <v>46</v>
      </c>
      <c r="W277" t="s">
        <v>68</v>
      </c>
      <c r="X277" t="s">
        <v>76</v>
      </c>
      <c r="Y277" t="s">
        <v>62</v>
      </c>
      <c r="Z277">
        <v>4</v>
      </c>
      <c r="AA277">
        <f t="shared" si="12"/>
        <v>6</v>
      </c>
      <c r="AB277" t="str">
        <f t="shared" si="13"/>
        <v>Yes</v>
      </c>
      <c r="AC277" t="str">
        <f t="shared" si="14"/>
        <v>Needs Improvement</v>
      </c>
    </row>
    <row r="278" spans="1:29" x14ac:dyDescent="0.3">
      <c r="A278" t="s">
        <v>399</v>
      </c>
      <c r="B278" s="1">
        <v>46120</v>
      </c>
      <c r="C278" s="1">
        <v>46122</v>
      </c>
      <c r="D278" s="1">
        <v>46125</v>
      </c>
      <c r="E278" t="s">
        <v>57</v>
      </c>
      <c r="F278" t="s">
        <v>58</v>
      </c>
      <c r="G278" t="s">
        <v>59</v>
      </c>
      <c r="H278">
        <v>1014</v>
      </c>
      <c r="I278" t="s">
        <v>60</v>
      </c>
      <c r="J278">
        <v>10</v>
      </c>
      <c r="K278">
        <v>7098</v>
      </c>
      <c r="L278">
        <v>5</v>
      </c>
      <c r="M278" t="s">
        <v>85</v>
      </c>
      <c r="N278">
        <v>13</v>
      </c>
      <c r="O278">
        <v>3.8</v>
      </c>
      <c r="P278" t="s">
        <v>32</v>
      </c>
      <c r="Q278" t="s">
        <v>33</v>
      </c>
      <c r="R278" t="s">
        <v>34</v>
      </c>
      <c r="S278">
        <v>2</v>
      </c>
      <c r="T278">
        <v>3</v>
      </c>
      <c r="U278">
        <v>1</v>
      </c>
      <c r="V278" t="s">
        <v>46</v>
      </c>
      <c r="W278" t="s">
        <v>68</v>
      </c>
      <c r="X278" t="s">
        <v>63</v>
      </c>
      <c r="Y278" t="s">
        <v>33</v>
      </c>
      <c r="Z278">
        <v>4</v>
      </c>
      <c r="AA278">
        <f t="shared" si="12"/>
        <v>7</v>
      </c>
      <c r="AB278" t="str">
        <f t="shared" si="13"/>
        <v>Yes</v>
      </c>
      <c r="AC278" t="str">
        <f t="shared" si="14"/>
        <v>Needs Improvement</v>
      </c>
    </row>
    <row r="279" spans="1:29" x14ac:dyDescent="0.3">
      <c r="A279" t="s">
        <v>400</v>
      </c>
      <c r="B279" s="1">
        <v>46063</v>
      </c>
      <c r="C279" s="1">
        <v>46065</v>
      </c>
      <c r="D279" s="1">
        <v>46067</v>
      </c>
      <c r="E279" t="s">
        <v>27</v>
      </c>
      <c r="F279" t="s">
        <v>28</v>
      </c>
      <c r="G279" t="s">
        <v>29</v>
      </c>
      <c r="H279">
        <v>224</v>
      </c>
      <c r="I279" t="s">
        <v>60</v>
      </c>
      <c r="J279">
        <v>7</v>
      </c>
      <c r="K279">
        <v>2240</v>
      </c>
      <c r="L279">
        <v>5</v>
      </c>
      <c r="M279" t="s">
        <v>226</v>
      </c>
      <c r="N279">
        <v>6</v>
      </c>
      <c r="O279">
        <v>4.2</v>
      </c>
      <c r="P279" t="s">
        <v>66</v>
      </c>
      <c r="Q279" t="s">
        <v>38</v>
      </c>
      <c r="R279" t="s">
        <v>54</v>
      </c>
      <c r="S279">
        <v>1</v>
      </c>
      <c r="T279">
        <v>2</v>
      </c>
      <c r="U279">
        <v>1</v>
      </c>
      <c r="V279" t="s">
        <v>46</v>
      </c>
      <c r="W279" t="s">
        <v>68</v>
      </c>
      <c r="X279" t="s">
        <v>95</v>
      </c>
      <c r="Y279" t="s">
        <v>33</v>
      </c>
      <c r="Z279">
        <v>3.7</v>
      </c>
      <c r="AA279">
        <f t="shared" si="12"/>
        <v>10</v>
      </c>
      <c r="AB279" t="str">
        <f t="shared" si="13"/>
        <v>Yes</v>
      </c>
      <c r="AC279" t="str">
        <f t="shared" si="14"/>
        <v>Needs Improvement</v>
      </c>
    </row>
    <row r="280" spans="1:29" x14ac:dyDescent="0.3">
      <c r="A280" t="s">
        <v>401</v>
      </c>
      <c r="B280" s="1">
        <v>46046</v>
      </c>
      <c r="C280" s="1">
        <v>46047</v>
      </c>
      <c r="D280" s="1">
        <v>46050</v>
      </c>
      <c r="E280" t="s">
        <v>111</v>
      </c>
      <c r="F280" t="s">
        <v>27</v>
      </c>
      <c r="G280" t="s">
        <v>112</v>
      </c>
      <c r="H280">
        <v>631</v>
      </c>
      <c r="I280" t="s">
        <v>43</v>
      </c>
      <c r="J280">
        <v>6</v>
      </c>
      <c r="K280">
        <v>5048</v>
      </c>
      <c r="L280">
        <v>8</v>
      </c>
      <c r="M280" t="s">
        <v>44</v>
      </c>
      <c r="N280">
        <v>8</v>
      </c>
      <c r="O280">
        <v>3.4</v>
      </c>
      <c r="P280" t="s">
        <v>45</v>
      </c>
      <c r="Q280" t="s">
        <v>33</v>
      </c>
      <c r="R280" t="s">
        <v>54</v>
      </c>
      <c r="S280">
        <v>1</v>
      </c>
      <c r="T280">
        <v>3</v>
      </c>
      <c r="U280">
        <v>2</v>
      </c>
      <c r="V280" t="s">
        <v>46</v>
      </c>
      <c r="W280" t="s">
        <v>36</v>
      </c>
      <c r="X280" t="s">
        <v>76</v>
      </c>
      <c r="Y280" t="s">
        <v>62</v>
      </c>
      <c r="Z280">
        <v>4.7</v>
      </c>
      <c r="AA280">
        <f t="shared" si="12"/>
        <v>8</v>
      </c>
      <c r="AB280" t="str">
        <f t="shared" si="13"/>
        <v>Yes</v>
      </c>
      <c r="AC280" t="str">
        <f t="shared" si="14"/>
        <v>Needs Improvement</v>
      </c>
    </row>
    <row r="281" spans="1:29" x14ac:dyDescent="0.3">
      <c r="A281" t="s">
        <v>402</v>
      </c>
      <c r="B281" s="1">
        <v>46048</v>
      </c>
      <c r="C281" s="1">
        <v>46048</v>
      </c>
      <c r="D281" s="1">
        <v>46052</v>
      </c>
      <c r="E281" t="s">
        <v>82</v>
      </c>
      <c r="F281" t="s">
        <v>83</v>
      </c>
      <c r="G281" t="s">
        <v>84</v>
      </c>
      <c r="H281">
        <v>1168</v>
      </c>
      <c r="I281" t="s">
        <v>87</v>
      </c>
      <c r="J281">
        <v>3</v>
      </c>
      <c r="K281">
        <v>10512</v>
      </c>
      <c r="L281">
        <v>8</v>
      </c>
      <c r="M281" t="s">
        <v>147</v>
      </c>
      <c r="N281">
        <v>15</v>
      </c>
      <c r="O281">
        <v>4.7</v>
      </c>
      <c r="P281" t="s">
        <v>66</v>
      </c>
      <c r="Q281" t="s">
        <v>62</v>
      </c>
      <c r="R281" t="s">
        <v>34</v>
      </c>
      <c r="S281">
        <v>2</v>
      </c>
      <c r="T281">
        <v>4</v>
      </c>
      <c r="U281">
        <v>2</v>
      </c>
      <c r="V281" t="s">
        <v>46</v>
      </c>
      <c r="W281" t="s">
        <v>55</v>
      </c>
      <c r="X281" t="s">
        <v>63</v>
      </c>
      <c r="Y281" t="s">
        <v>62</v>
      </c>
      <c r="Z281">
        <v>3.2</v>
      </c>
      <c r="AA281">
        <f t="shared" si="12"/>
        <v>9</v>
      </c>
      <c r="AB281" t="str">
        <f t="shared" si="13"/>
        <v>Yes</v>
      </c>
      <c r="AC281" t="str">
        <f t="shared" si="14"/>
        <v>Needs Improvement</v>
      </c>
    </row>
    <row r="282" spans="1:29" x14ac:dyDescent="0.3">
      <c r="A282" t="s">
        <v>403</v>
      </c>
      <c r="B282" s="1">
        <v>46043</v>
      </c>
      <c r="C282" s="1">
        <v>46043</v>
      </c>
      <c r="D282" s="1">
        <v>46044</v>
      </c>
      <c r="E282" t="s">
        <v>40</v>
      </c>
      <c r="F282" t="s">
        <v>41</v>
      </c>
      <c r="G282" t="s">
        <v>42</v>
      </c>
      <c r="H282">
        <v>720</v>
      </c>
      <c r="I282" t="s">
        <v>43</v>
      </c>
      <c r="J282">
        <v>2</v>
      </c>
      <c r="K282">
        <v>6480</v>
      </c>
      <c r="L282">
        <v>10</v>
      </c>
      <c r="M282" t="s">
        <v>143</v>
      </c>
      <c r="N282">
        <v>5</v>
      </c>
      <c r="O282">
        <v>3.7</v>
      </c>
      <c r="P282" t="s">
        <v>66</v>
      </c>
      <c r="Q282" t="s">
        <v>62</v>
      </c>
      <c r="R282" t="s">
        <v>67</v>
      </c>
      <c r="S282">
        <v>1</v>
      </c>
      <c r="T282">
        <v>1</v>
      </c>
      <c r="U282">
        <v>0</v>
      </c>
      <c r="V282" t="s">
        <v>35</v>
      </c>
      <c r="W282" t="s">
        <v>68</v>
      </c>
      <c r="X282" t="s">
        <v>76</v>
      </c>
      <c r="Y282" t="s">
        <v>38</v>
      </c>
      <c r="Z282">
        <v>4.2</v>
      </c>
      <c r="AA282">
        <f t="shared" si="12"/>
        <v>9</v>
      </c>
      <c r="AB282" t="str">
        <f t="shared" si="13"/>
        <v>No</v>
      </c>
      <c r="AC282" t="str">
        <f t="shared" si="14"/>
        <v>Efficient</v>
      </c>
    </row>
    <row r="283" spans="1:29" x14ac:dyDescent="0.3">
      <c r="A283" t="s">
        <v>404</v>
      </c>
      <c r="B283" s="1">
        <v>46106</v>
      </c>
      <c r="C283" s="1">
        <v>46108</v>
      </c>
      <c r="D283" s="1">
        <v>46113</v>
      </c>
      <c r="E283" t="s">
        <v>82</v>
      </c>
      <c r="F283" t="s">
        <v>83</v>
      </c>
      <c r="G283" t="s">
        <v>84</v>
      </c>
      <c r="H283">
        <v>1798</v>
      </c>
      <c r="I283" t="s">
        <v>30</v>
      </c>
      <c r="J283">
        <v>6</v>
      </c>
      <c r="K283">
        <v>14384</v>
      </c>
      <c r="L283">
        <v>10</v>
      </c>
      <c r="M283" t="s">
        <v>186</v>
      </c>
      <c r="N283">
        <v>8</v>
      </c>
      <c r="O283">
        <v>4.5</v>
      </c>
      <c r="P283" t="s">
        <v>53</v>
      </c>
      <c r="Q283" t="s">
        <v>38</v>
      </c>
      <c r="R283" t="s">
        <v>34</v>
      </c>
      <c r="S283">
        <v>3</v>
      </c>
      <c r="T283">
        <v>5</v>
      </c>
      <c r="U283">
        <v>2</v>
      </c>
      <c r="V283" t="s">
        <v>46</v>
      </c>
      <c r="W283" t="s">
        <v>68</v>
      </c>
      <c r="X283" t="s">
        <v>37</v>
      </c>
      <c r="Y283" t="s">
        <v>38</v>
      </c>
      <c r="Z283">
        <v>4.3</v>
      </c>
      <c r="AA283">
        <f t="shared" si="12"/>
        <v>8</v>
      </c>
      <c r="AB283" t="str">
        <f t="shared" si="13"/>
        <v>Yes</v>
      </c>
      <c r="AC283" t="str">
        <f t="shared" si="14"/>
        <v>Needs Improvement</v>
      </c>
    </row>
    <row r="284" spans="1:29" x14ac:dyDescent="0.3">
      <c r="A284" t="s">
        <v>405</v>
      </c>
      <c r="B284" s="1">
        <v>46141</v>
      </c>
      <c r="C284" s="1">
        <v>46142</v>
      </c>
      <c r="D284" s="1">
        <v>46148</v>
      </c>
      <c r="E284" t="s">
        <v>111</v>
      </c>
      <c r="F284" t="s">
        <v>27</v>
      </c>
      <c r="G284" t="s">
        <v>112</v>
      </c>
      <c r="H284">
        <v>1492</v>
      </c>
      <c r="I284" t="s">
        <v>43</v>
      </c>
      <c r="J284">
        <v>2</v>
      </c>
      <c r="K284">
        <v>8952</v>
      </c>
      <c r="L284">
        <v>6</v>
      </c>
      <c r="M284" t="s">
        <v>143</v>
      </c>
      <c r="N284">
        <v>4</v>
      </c>
      <c r="O284">
        <v>3.6</v>
      </c>
      <c r="P284" t="s">
        <v>66</v>
      </c>
      <c r="Q284" t="s">
        <v>33</v>
      </c>
      <c r="R284" t="s">
        <v>34</v>
      </c>
      <c r="S284">
        <v>3</v>
      </c>
      <c r="T284">
        <v>6</v>
      </c>
      <c r="U284">
        <v>3</v>
      </c>
      <c r="V284" t="s">
        <v>46</v>
      </c>
      <c r="W284" t="s">
        <v>68</v>
      </c>
      <c r="X284" t="s">
        <v>76</v>
      </c>
      <c r="Y284" t="s">
        <v>33</v>
      </c>
      <c r="Z284">
        <v>4.9000000000000004</v>
      </c>
      <c r="AA284">
        <f t="shared" si="12"/>
        <v>6</v>
      </c>
      <c r="AB284" t="str">
        <f t="shared" si="13"/>
        <v>Yes</v>
      </c>
      <c r="AC284" t="str">
        <f t="shared" si="14"/>
        <v>Needs Improvement</v>
      </c>
    </row>
    <row r="285" spans="1:29" x14ac:dyDescent="0.3">
      <c r="A285" t="s">
        <v>406</v>
      </c>
      <c r="B285" s="1">
        <v>46075</v>
      </c>
      <c r="C285" s="1">
        <v>46075</v>
      </c>
      <c r="D285" s="1">
        <v>46076</v>
      </c>
      <c r="E285" t="s">
        <v>82</v>
      </c>
      <c r="F285" t="s">
        <v>83</v>
      </c>
      <c r="G285" t="s">
        <v>84</v>
      </c>
      <c r="H285">
        <v>247</v>
      </c>
      <c r="I285" t="s">
        <v>60</v>
      </c>
      <c r="J285">
        <v>4</v>
      </c>
      <c r="K285">
        <v>2717</v>
      </c>
      <c r="L285">
        <v>7</v>
      </c>
      <c r="M285" t="s">
        <v>31</v>
      </c>
      <c r="N285">
        <v>12</v>
      </c>
      <c r="O285">
        <v>4.5</v>
      </c>
      <c r="P285" t="s">
        <v>45</v>
      </c>
      <c r="Q285" t="s">
        <v>38</v>
      </c>
      <c r="R285" t="s">
        <v>34</v>
      </c>
      <c r="S285">
        <v>1</v>
      </c>
      <c r="T285">
        <v>1</v>
      </c>
      <c r="U285">
        <v>0</v>
      </c>
      <c r="V285" t="s">
        <v>35</v>
      </c>
      <c r="W285" t="s">
        <v>36</v>
      </c>
      <c r="X285" t="s">
        <v>95</v>
      </c>
      <c r="Y285" t="s">
        <v>33</v>
      </c>
      <c r="Z285">
        <v>3.1</v>
      </c>
      <c r="AA285">
        <f t="shared" si="12"/>
        <v>11</v>
      </c>
      <c r="AB285" t="str">
        <f t="shared" si="13"/>
        <v>No</v>
      </c>
      <c r="AC285" t="str">
        <f t="shared" si="14"/>
        <v>Efficient</v>
      </c>
    </row>
    <row r="286" spans="1:29" x14ac:dyDescent="0.3">
      <c r="A286" t="s">
        <v>407</v>
      </c>
      <c r="B286" s="1">
        <v>46121</v>
      </c>
      <c r="C286" s="1">
        <v>46122</v>
      </c>
      <c r="D286" s="1">
        <v>46125</v>
      </c>
      <c r="E286" t="s">
        <v>72</v>
      </c>
      <c r="F286" t="s">
        <v>73</v>
      </c>
      <c r="G286" t="s">
        <v>74</v>
      </c>
      <c r="H286">
        <v>412</v>
      </c>
      <c r="I286" t="s">
        <v>30</v>
      </c>
      <c r="J286">
        <v>10</v>
      </c>
      <c r="K286">
        <v>2884</v>
      </c>
      <c r="L286">
        <v>5</v>
      </c>
      <c r="M286" t="s">
        <v>97</v>
      </c>
      <c r="N286">
        <v>15</v>
      </c>
      <c r="O286">
        <v>4.8</v>
      </c>
      <c r="P286" t="s">
        <v>66</v>
      </c>
      <c r="Q286" t="s">
        <v>38</v>
      </c>
      <c r="R286" t="s">
        <v>67</v>
      </c>
      <c r="S286">
        <v>1</v>
      </c>
      <c r="T286">
        <v>3</v>
      </c>
      <c r="U286">
        <v>2</v>
      </c>
      <c r="V286" t="s">
        <v>46</v>
      </c>
      <c r="W286" t="s">
        <v>68</v>
      </c>
      <c r="X286" t="s">
        <v>37</v>
      </c>
      <c r="Y286" t="s">
        <v>38</v>
      </c>
      <c r="Z286">
        <v>4.0999999999999996</v>
      </c>
      <c r="AA286">
        <f t="shared" si="12"/>
        <v>7</v>
      </c>
      <c r="AB286" t="str">
        <f t="shared" si="13"/>
        <v>Yes</v>
      </c>
      <c r="AC286" t="str">
        <f t="shared" si="14"/>
        <v>Needs Improvement</v>
      </c>
    </row>
    <row r="287" spans="1:29" x14ac:dyDescent="0.3">
      <c r="A287" t="s">
        <v>408</v>
      </c>
      <c r="B287" s="1">
        <v>46044</v>
      </c>
      <c r="C287" s="1">
        <v>46044</v>
      </c>
      <c r="D287" s="1">
        <v>46051</v>
      </c>
      <c r="E287" t="s">
        <v>27</v>
      </c>
      <c r="F287" t="s">
        <v>28</v>
      </c>
      <c r="G287" t="s">
        <v>29</v>
      </c>
      <c r="H287">
        <v>1558</v>
      </c>
      <c r="I287" t="s">
        <v>30</v>
      </c>
      <c r="J287">
        <v>6</v>
      </c>
      <c r="K287">
        <v>18696</v>
      </c>
      <c r="L287">
        <v>8</v>
      </c>
      <c r="M287" t="s">
        <v>61</v>
      </c>
      <c r="N287">
        <v>14</v>
      </c>
      <c r="O287">
        <v>4.0999999999999996</v>
      </c>
      <c r="P287" t="s">
        <v>66</v>
      </c>
      <c r="Q287" t="s">
        <v>33</v>
      </c>
      <c r="R287" t="s">
        <v>34</v>
      </c>
      <c r="S287">
        <v>3</v>
      </c>
      <c r="T287">
        <v>7</v>
      </c>
      <c r="U287">
        <v>4</v>
      </c>
      <c r="V287" t="s">
        <v>46</v>
      </c>
      <c r="W287" t="s">
        <v>36</v>
      </c>
      <c r="X287" t="s">
        <v>76</v>
      </c>
      <c r="Y287" t="s">
        <v>33</v>
      </c>
      <c r="Z287">
        <v>3.9</v>
      </c>
      <c r="AA287">
        <f t="shared" si="12"/>
        <v>12</v>
      </c>
      <c r="AB287" t="str">
        <f t="shared" si="13"/>
        <v>Yes</v>
      </c>
      <c r="AC287" t="str">
        <f t="shared" si="14"/>
        <v>Needs Improvement</v>
      </c>
    </row>
    <row r="288" spans="1:29" x14ac:dyDescent="0.3">
      <c r="A288" t="s">
        <v>409</v>
      </c>
      <c r="B288" s="1">
        <v>46118</v>
      </c>
      <c r="C288" s="1">
        <v>46120</v>
      </c>
      <c r="D288" s="1">
        <v>46122</v>
      </c>
      <c r="E288" t="s">
        <v>111</v>
      </c>
      <c r="F288" t="s">
        <v>27</v>
      </c>
      <c r="G288" t="s">
        <v>112</v>
      </c>
      <c r="H288">
        <v>1272</v>
      </c>
      <c r="I288" t="s">
        <v>30</v>
      </c>
      <c r="J288">
        <v>6</v>
      </c>
      <c r="K288">
        <v>11448</v>
      </c>
      <c r="L288">
        <v>9</v>
      </c>
      <c r="M288" t="s">
        <v>239</v>
      </c>
      <c r="N288">
        <v>13</v>
      </c>
      <c r="O288">
        <v>3.2</v>
      </c>
      <c r="P288" t="s">
        <v>66</v>
      </c>
      <c r="Q288" t="s">
        <v>62</v>
      </c>
      <c r="R288" t="s">
        <v>34</v>
      </c>
      <c r="S288">
        <v>2</v>
      </c>
      <c r="T288">
        <v>2</v>
      </c>
      <c r="U288">
        <v>0</v>
      </c>
      <c r="V288" t="s">
        <v>35</v>
      </c>
      <c r="W288" t="s">
        <v>68</v>
      </c>
      <c r="X288" t="s">
        <v>63</v>
      </c>
      <c r="Y288" t="s">
        <v>38</v>
      </c>
      <c r="Z288">
        <v>4</v>
      </c>
      <c r="AA288">
        <f t="shared" si="12"/>
        <v>9</v>
      </c>
      <c r="AB288" t="str">
        <f t="shared" si="13"/>
        <v>No</v>
      </c>
      <c r="AC288" t="str">
        <f t="shared" si="14"/>
        <v>Efficient</v>
      </c>
    </row>
    <row r="289" spans="1:29" x14ac:dyDescent="0.3">
      <c r="A289" t="s">
        <v>410</v>
      </c>
      <c r="B289" s="1">
        <v>46120</v>
      </c>
      <c r="C289" s="1">
        <v>46120</v>
      </c>
      <c r="D289" s="1">
        <v>46123</v>
      </c>
      <c r="E289" t="s">
        <v>49</v>
      </c>
      <c r="F289" t="s">
        <v>50</v>
      </c>
      <c r="G289" t="s">
        <v>51</v>
      </c>
      <c r="H289">
        <v>787</v>
      </c>
      <c r="I289" t="s">
        <v>43</v>
      </c>
      <c r="J289">
        <v>9</v>
      </c>
      <c r="K289">
        <v>4722</v>
      </c>
      <c r="L289">
        <v>10</v>
      </c>
      <c r="M289" t="s">
        <v>153</v>
      </c>
      <c r="N289">
        <v>13</v>
      </c>
      <c r="O289">
        <v>4</v>
      </c>
      <c r="P289" t="s">
        <v>32</v>
      </c>
      <c r="Q289" t="s">
        <v>62</v>
      </c>
      <c r="R289" t="s">
        <v>34</v>
      </c>
      <c r="S289">
        <v>1</v>
      </c>
      <c r="T289">
        <v>3</v>
      </c>
      <c r="U289">
        <v>2</v>
      </c>
      <c r="V289" t="s">
        <v>46</v>
      </c>
      <c r="W289" t="s">
        <v>36</v>
      </c>
      <c r="X289" t="s">
        <v>63</v>
      </c>
      <c r="Y289" t="s">
        <v>33</v>
      </c>
      <c r="Z289">
        <v>3.7</v>
      </c>
      <c r="AA289">
        <f t="shared" si="12"/>
        <v>6</v>
      </c>
      <c r="AB289" t="str">
        <f t="shared" si="13"/>
        <v>Yes</v>
      </c>
      <c r="AC289" t="str">
        <f t="shared" si="14"/>
        <v>Needs Improvement</v>
      </c>
    </row>
    <row r="290" spans="1:29" x14ac:dyDescent="0.3">
      <c r="A290" t="s">
        <v>411</v>
      </c>
      <c r="B290" s="1">
        <v>46075</v>
      </c>
      <c r="C290" s="1">
        <v>46077</v>
      </c>
      <c r="D290" s="1">
        <v>46081</v>
      </c>
      <c r="E290" t="s">
        <v>111</v>
      </c>
      <c r="F290" t="s">
        <v>27</v>
      </c>
      <c r="G290" t="s">
        <v>112</v>
      </c>
      <c r="H290">
        <v>1008</v>
      </c>
      <c r="I290" t="s">
        <v>60</v>
      </c>
      <c r="J290">
        <v>3</v>
      </c>
      <c r="K290">
        <v>11088</v>
      </c>
      <c r="L290">
        <v>10</v>
      </c>
      <c r="M290" t="s">
        <v>97</v>
      </c>
      <c r="N290">
        <v>7</v>
      </c>
      <c r="O290">
        <v>4.7</v>
      </c>
      <c r="P290" t="s">
        <v>45</v>
      </c>
      <c r="Q290" t="s">
        <v>62</v>
      </c>
      <c r="R290" t="s">
        <v>67</v>
      </c>
      <c r="S290">
        <v>2</v>
      </c>
      <c r="T290">
        <v>4</v>
      </c>
      <c r="U290">
        <v>2</v>
      </c>
      <c r="V290" t="s">
        <v>46</v>
      </c>
      <c r="W290" t="s">
        <v>36</v>
      </c>
      <c r="X290" t="s">
        <v>76</v>
      </c>
      <c r="Y290" t="s">
        <v>33</v>
      </c>
      <c r="Z290">
        <v>4.5999999999999996</v>
      </c>
      <c r="AA290">
        <f t="shared" si="12"/>
        <v>11</v>
      </c>
      <c r="AB290" t="str">
        <f t="shared" si="13"/>
        <v>Yes</v>
      </c>
      <c r="AC290" t="str">
        <f t="shared" si="14"/>
        <v>Needs Improvement</v>
      </c>
    </row>
    <row r="291" spans="1:29" x14ac:dyDescent="0.3">
      <c r="A291" t="s">
        <v>412</v>
      </c>
      <c r="B291" s="1">
        <v>46110</v>
      </c>
      <c r="C291" s="1">
        <v>46111</v>
      </c>
      <c r="D291" s="1">
        <v>46118</v>
      </c>
      <c r="E291" t="s">
        <v>57</v>
      </c>
      <c r="F291" t="s">
        <v>58</v>
      </c>
      <c r="G291" t="s">
        <v>59</v>
      </c>
      <c r="H291">
        <v>1528</v>
      </c>
      <c r="I291" t="s">
        <v>30</v>
      </c>
      <c r="J291">
        <v>7</v>
      </c>
      <c r="K291">
        <v>10696</v>
      </c>
      <c r="L291">
        <v>5</v>
      </c>
      <c r="M291" t="s">
        <v>283</v>
      </c>
      <c r="N291">
        <v>3</v>
      </c>
      <c r="O291">
        <v>3.6</v>
      </c>
      <c r="P291" t="s">
        <v>53</v>
      </c>
      <c r="Q291" t="s">
        <v>33</v>
      </c>
      <c r="R291" t="s">
        <v>34</v>
      </c>
      <c r="S291">
        <v>3</v>
      </c>
      <c r="T291">
        <v>7</v>
      </c>
      <c r="U291">
        <v>4</v>
      </c>
      <c r="V291" t="s">
        <v>46</v>
      </c>
      <c r="W291" t="s">
        <v>68</v>
      </c>
      <c r="X291" t="s">
        <v>37</v>
      </c>
      <c r="Y291" t="s">
        <v>62</v>
      </c>
      <c r="Z291">
        <v>3</v>
      </c>
      <c r="AA291">
        <f t="shared" si="12"/>
        <v>7</v>
      </c>
      <c r="AB291" t="str">
        <f t="shared" si="13"/>
        <v>Yes</v>
      </c>
      <c r="AC291" t="str">
        <f t="shared" si="14"/>
        <v>Needs Improvement</v>
      </c>
    </row>
    <row r="292" spans="1:29" x14ac:dyDescent="0.3">
      <c r="A292" t="s">
        <v>413</v>
      </c>
      <c r="B292" s="1">
        <v>46029</v>
      </c>
      <c r="C292" s="1">
        <v>46031</v>
      </c>
      <c r="D292" s="1">
        <v>46033</v>
      </c>
      <c r="E292" t="s">
        <v>27</v>
      </c>
      <c r="F292" t="s">
        <v>28</v>
      </c>
      <c r="G292" t="s">
        <v>29</v>
      </c>
      <c r="H292">
        <v>580</v>
      </c>
      <c r="I292" t="s">
        <v>87</v>
      </c>
      <c r="J292">
        <v>5</v>
      </c>
      <c r="K292">
        <v>4640</v>
      </c>
      <c r="L292">
        <v>6</v>
      </c>
      <c r="M292" t="s">
        <v>245</v>
      </c>
      <c r="N292">
        <v>8</v>
      </c>
      <c r="O292">
        <v>4.5</v>
      </c>
      <c r="P292" t="s">
        <v>45</v>
      </c>
      <c r="Q292" t="s">
        <v>38</v>
      </c>
      <c r="R292" t="s">
        <v>67</v>
      </c>
      <c r="S292">
        <v>1</v>
      </c>
      <c r="T292">
        <v>2</v>
      </c>
      <c r="U292">
        <v>1</v>
      </c>
      <c r="V292" t="s">
        <v>46</v>
      </c>
      <c r="W292" t="s">
        <v>36</v>
      </c>
      <c r="X292" t="s">
        <v>47</v>
      </c>
      <c r="Y292" t="s">
        <v>62</v>
      </c>
      <c r="Z292">
        <v>3.6</v>
      </c>
      <c r="AA292">
        <f t="shared" si="12"/>
        <v>8</v>
      </c>
      <c r="AB292" t="str">
        <f t="shared" si="13"/>
        <v>Yes</v>
      </c>
      <c r="AC292" t="str">
        <f t="shared" si="14"/>
        <v>Needs Improvement</v>
      </c>
    </row>
    <row r="293" spans="1:29" x14ac:dyDescent="0.3">
      <c r="A293" t="s">
        <v>414</v>
      </c>
      <c r="B293" s="1">
        <v>46125</v>
      </c>
      <c r="C293" s="1">
        <v>46126</v>
      </c>
      <c r="D293" s="1">
        <v>46128</v>
      </c>
      <c r="E293" t="s">
        <v>49</v>
      </c>
      <c r="F293" t="s">
        <v>50</v>
      </c>
      <c r="G293" t="s">
        <v>51</v>
      </c>
      <c r="H293">
        <v>1149</v>
      </c>
      <c r="I293" t="s">
        <v>87</v>
      </c>
      <c r="J293">
        <v>6</v>
      </c>
      <c r="K293">
        <v>6894</v>
      </c>
      <c r="L293">
        <v>6</v>
      </c>
      <c r="M293" t="s">
        <v>208</v>
      </c>
      <c r="N293">
        <v>5</v>
      </c>
      <c r="O293">
        <v>4.5999999999999996</v>
      </c>
      <c r="P293" t="s">
        <v>32</v>
      </c>
      <c r="Q293" t="s">
        <v>33</v>
      </c>
      <c r="R293" t="s">
        <v>34</v>
      </c>
      <c r="S293">
        <v>2</v>
      </c>
      <c r="T293">
        <v>2</v>
      </c>
      <c r="U293">
        <v>0</v>
      </c>
      <c r="V293" t="s">
        <v>35</v>
      </c>
      <c r="W293" t="s">
        <v>68</v>
      </c>
      <c r="X293" t="s">
        <v>95</v>
      </c>
      <c r="Y293" t="s">
        <v>38</v>
      </c>
      <c r="Z293">
        <v>3.2</v>
      </c>
      <c r="AA293">
        <f t="shared" si="12"/>
        <v>6</v>
      </c>
      <c r="AB293" t="str">
        <f t="shared" si="13"/>
        <v>No</v>
      </c>
      <c r="AC293" t="str">
        <f t="shared" si="14"/>
        <v>Efficient</v>
      </c>
    </row>
    <row r="294" spans="1:29" x14ac:dyDescent="0.3">
      <c r="A294" t="s">
        <v>415</v>
      </c>
      <c r="B294" s="1">
        <v>46121</v>
      </c>
      <c r="C294" s="1">
        <v>46123</v>
      </c>
      <c r="D294" s="1">
        <v>46128</v>
      </c>
      <c r="E294" t="s">
        <v>40</v>
      </c>
      <c r="F294" t="s">
        <v>41</v>
      </c>
      <c r="G294" t="s">
        <v>42</v>
      </c>
      <c r="H294">
        <v>988</v>
      </c>
      <c r="I294" t="s">
        <v>43</v>
      </c>
      <c r="J294">
        <v>4</v>
      </c>
      <c r="K294">
        <v>10868</v>
      </c>
      <c r="L294">
        <v>5</v>
      </c>
      <c r="M294" t="s">
        <v>160</v>
      </c>
      <c r="N294">
        <v>8</v>
      </c>
      <c r="O294">
        <v>4.5</v>
      </c>
      <c r="P294" t="s">
        <v>32</v>
      </c>
      <c r="Q294" t="s">
        <v>33</v>
      </c>
      <c r="R294" t="s">
        <v>54</v>
      </c>
      <c r="S294">
        <v>2</v>
      </c>
      <c r="T294">
        <v>5</v>
      </c>
      <c r="U294">
        <v>3</v>
      </c>
      <c r="V294" t="s">
        <v>46</v>
      </c>
      <c r="W294" t="s">
        <v>68</v>
      </c>
      <c r="X294" t="s">
        <v>47</v>
      </c>
      <c r="Y294" t="s">
        <v>62</v>
      </c>
      <c r="Z294">
        <v>3.3</v>
      </c>
      <c r="AA294">
        <f t="shared" si="12"/>
        <v>11</v>
      </c>
      <c r="AB294" t="str">
        <f t="shared" si="13"/>
        <v>Yes</v>
      </c>
      <c r="AC294" t="str">
        <f t="shared" si="14"/>
        <v>Needs Improvement</v>
      </c>
    </row>
    <row r="295" spans="1:29" x14ac:dyDescent="0.3">
      <c r="A295" t="s">
        <v>416</v>
      </c>
      <c r="B295" s="1">
        <v>46116</v>
      </c>
      <c r="C295" s="1">
        <v>46116</v>
      </c>
      <c r="D295" s="1">
        <v>46118</v>
      </c>
      <c r="E295" t="s">
        <v>72</v>
      </c>
      <c r="F295" t="s">
        <v>73</v>
      </c>
      <c r="G295" t="s">
        <v>74</v>
      </c>
      <c r="H295">
        <v>718</v>
      </c>
      <c r="I295" t="s">
        <v>43</v>
      </c>
      <c r="J295">
        <v>5</v>
      </c>
      <c r="K295">
        <v>5026</v>
      </c>
      <c r="L295">
        <v>7</v>
      </c>
      <c r="M295" t="s">
        <v>208</v>
      </c>
      <c r="N295">
        <v>14</v>
      </c>
      <c r="O295">
        <v>4.3</v>
      </c>
      <c r="P295" t="s">
        <v>32</v>
      </c>
      <c r="Q295" t="s">
        <v>38</v>
      </c>
      <c r="R295" t="s">
        <v>54</v>
      </c>
      <c r="S295">
        <v>1</v>
      </c>
      <c r="T295">
        <v>2</v>
      </c>
      <c r="U295">
        <v>1</v>
      </c>
      <c r="V295" t="s">
        <v>46</v>
      </c>
      <c r="W295" t="s">
        <v>68</v>
      </c>
      <c r="X295" t="s">
        <v>63</v>
      </c>
      <c r="Y295" t="s">
        <v>38</v>
      </c>
      <c r="Z295">
        <v>4.5999999999999996</v>
      </c>
      <c r="AA295">
        <f t="shared" si="12"/>
        <v>7</v>
      </c>
      <c r="AB295" t="str">
        <f t="shared" si="13"/>
        <v>Yes</v>
      </c>
      <c r="AC295" t="str">
        <f t="shared" si="14"/>
        <v>Needs Improvement</v>
      </c>
    </row>
    <row r="296" spans="1:29" x14ac:dyDescent="0.3">
      <c r="A296" t="s">
        <v>417</v>
      </c>
      <c r="B296" s="1">
        <v>46097</v>
      </c>
      <c r="C296" s="1">
        <v>46097</v>
      </c>
      <c r="D296" s="1">
        <v>46099</v>
      </c>
      <c r="E296" t="s">
        <v>111</v>
      </c>
      <c r="F296" t="s">
        <v>27</v>
      </c>
      <c r="G296" t="s">
        <v>112</v>
      </c>
      <c r="H296">
        <v>697</v>
      </c>
      <c r="I296" t="s">
        <v>87</v>
      </c>
      <c r="J296">
        <v>1</v>
      </c>
      <c r="K296">
        <v>6970</v>
      </c>
      <c r="L296">
        <v>10</v>
      </c>
      <c r="M296" t="s">
        <v>116</v>
      </c>
      <c r="N296">
        <v>12</v>
      </c>
      <c r="O296">
        <v>4.2</v>
      </c>
      <c r="P296" t="s">
        <v>66</v>
      </c>
      <c r="Q296" t="s">
        <v>38</v>
      </c>
      <c r="R296" t="s">
        <v>67</v>
      </c>
      <c r="S296">
        <v>1</v>
      </c>
      <c r="T296">
        <v>2</v>
      </c>
      <c r="U296">
        <v>1</v>
      </c>
      <c r="V296" t="s">
        <v>46</v>
      </c>
      <c r="W296" t="s">
        <v>36</v>
      </c>
      <c r="X296" t="s">
        <v>76</v>
      </c>
      <c r="Y296" t="s">
        <v>62</v>
      </c>
      <c r="Z296">
        <v>4.9000000000000004</v>
      </c>
      <c r="AA296">
        <f t="shared" si="12"/>
        <v>10</v>
      </c>
      <c r="AB296" t="str">
        <f t="shared" si="13"/>
        <v>Yes</v>
      </c>
      <c r="AC296" t="str">
        <f t="shared" si="14"/>
        <v>Needs Improvement</v>
      </c>
    </row>
    <row r="297" spans="1:29" x14ac:dyDescent="0.3">
      <c r="A297" t="s">
        <v>418</v>
      </c>
      <c r="B297" s="1">
        <v>46120</v>
      </c>
      <c r="C297" s="1">
        <v>46122</v>
      </c>
      <c r="D297" s="1">
        <v>46128</v>
      </c>
      <c r="E297" t="s">
        <v>27</v>
      </c>
      <c r="F297" t="s">
        <v>28</v>
      </c>
      <c r="G297" t="s">
        <v>29</v>
      </c>
      <c r="H297">
        <v>322</v>
      </c>
      <c r="I297" t="s">
        <v>30</v>
      </c>
      <c r="J297">
        <v>3</v>
      </c>
      <c r="K297">
        <v>3542</v>
      </c>
      <c r="L297">
        <v>9</v>
      </c>
      <c r="M297" t="s">
        <v>107</v>
      </c>
      <c r="N297">
        <v>3</v>
      </c>
      <c r="O297">
        <v>4</v>
      </c>
      <c r="P297" t="s">
        <v>66</v>
      </c>
      <c r="Q297" t="s">
        <v>33</v>
      </c>
      <c r="R297" t="s">
        <v>54</v>
      </c>
      <c r="S297">
        <v>1</v>
      </c>
      <c r="T297">
        <v>6</v>
      </c>
      <c r="U297">
        <v>5</v>
      </c>
      <c r="V297" t="s">
        <v>46</v>
      </c>
      <c r="W297" t="s">
        <v>36</v>
      </c>
      <c r="X297" t="s">
        <v>63</v>
      </c>
      <c r="Y297" t="s">
        <v>33</v>
      </c>
      <c r="Z297">
        <v>3.8</v>
      </c>
      <c r="AA297">
        <f t="shared" si="12"/>
        <v>11</v>
      </c>
      <c r="AB297" t="str">
        <f t="shared" si="13"/>
        <v>Yes</v>
      </c>
      <c r="AC297" t="str">
        <f t="shared" si="14"/>
        <v>Needs Improvement</v>
      </c>
    </row>
    <row r="298" spans="1:29" x14ac:dyDescent="0.3">
      <c r="A298" t="s">
        <v>419</v>
      </c>
      <c r="B298" s="1">
        <v>46115</v>
      </c>
      <c r="C298" s="1">
        <v>46115</v>
      </c>
      <c r="D298" s="1">
        <v>46119</v>
      </c>
      <c r="E298" t="s">
        <v>57</v>
      </c>
      <c r="F298" t="s">
        <v>58</v>
      </c>
      <c r="G298" t="s">
        <v>59</v>
      </c>
      <c r="H298">
        <v>280</v>
      </c>
      <c r="I298" t="s">
        <v>43</v>
      </c>
      <c r="J298">
        <v>8</v>
      </c>
      <c r="K298">
        <v>2800</v>
      </c>
      <c r="L298">
        <v>7</v>
      </c>
      <c r="M298" t="s">
        <v>52</v>
      </c>
      <c r="N298">
        <v>12</v>
      </c>
      <c r="O298">
        <v>4</v>
      </c>
      <c r="P298" t="s">
        <v>45</v>
      </c>
      <c r="Q298" t="s">
        <v>33</v>
      </c>
      <c r="R298" t="s">
        <v>34</v>
      </c>
      <c r="S298">
        <v>1</v>
      </c>
      <c r="T298">
        <v>4</v>
      </c>
      <c r="U298">
        <v>3</v>
      </c>
      <c r="V298" t="s">
        <v>46</v>
      </c>
      <c r="W298" t="s">
        <v>68</v>
      </c>
      <c r="X298" t="s">
        <v>76</v>
      </c>
      <c r="Y298" t="s">
        <v>33</v>
      </c>
      <c r="Z298">
        <v>3.3</v>
      </c>
      <c r="AA298">
        <f t="shared" si="12"/>
        <v>10</v>
      </c>
      <c r="AB298" t="str">
        <f t="shared" si="13"/>
        <v>Yes</v>
      </c>
      <c r="AC298" t="str">
        <f t="shared" si="14"/>
        <v>Needs Improvement</v>
      </c>
    </row>
    <row r="299" spans="1:29" x14ac:dyDescent="0.3">
      <c r="A299" t="s">
        <v>420</v>
      </c>
      <c r="B299" s="1">
        <v>46090</v>
      </c>
      <c r="C299" s="1">
        <v>46090</v>
      </c>
      <c r="D299" s="1">
        <v>46093</v>
      </c>
      <c r="E299" t="s">
        <v>92</v>
      </c>
      <c r="F299" t="s">
        <v>93</v>
      </c>
      <c r="G299" t="s">
        <v>94</v>
      </c>
      <c r="H299">
        <v>805</v>
      </c>
      <c r="I299" t="s">
        <v>30</v>
      </c>
      <c r="J299">
        <v>9</v>
      </c>
      <c r="K299">
        <v>6440</v>
      </c>
      <c r="L299">
        <v>8</v>
      </c>
      <c r="M299" t="s">
        <v>158</v>
      </c>
      <c r="N299">
        <v>13</v>
      </c>
      <c r="O299">
        <v>4.3</v>
      </c>
      <c r="P299" t="s">
        <v>53</v>
      </c>
      <c r="Q299" t="s">
        <v>33</v>
      </c>
      <c r="R299" t="s">
        <v>67</v>
      </c>
      <c r="S299">
        <v>1</v>
      </c>
      <c r="T299">
        <v>3</v>
      </c>
      <c r="U299">
        <v>2</v>
      </c>
      <c r="V299" t="s">
        <v>46</v>
      </c>
      <c r="W299" t="s">
        <v>55</v>
      </c>
      <c r="X299" t="s">
        <v>37</v>
      </c>
      <c r="Y299" t="s">
        <v>62</v>
      </c>
      <c r="Z299">
        <v>4.4000000000000004</v>
      </c>
      <c r="AA299">
        <f t="shared" si="12"/>
        <v>8</v>
      </c>
      <c r="AB299" t="str">
        <f t="shared" si="13"/>
        <v>Yes</v>
      </c>
      <c r="AC299" t="str">
        <f t="shared" si="14"/>
        <v>Needs Improvement</v>
      </c>
    </row>
    <row r="300" spans="1:29" x14ac:dyDescent="0.3">
      <c r="A300" t="s">
        <v>421</v>
      </c>
      <c r="B300" s="1">
        <v>46107</v>
      </c>
      <c r="C300" s="1">
        <v>46109</v>
      </c>
      <c r="D300" s="1">
        <v>46110</v>
      </c>
      <c r="E300" t="s">
        <v>111</v>
      </c>
      <c r="F300" t="s">
        <v>27</v>
      </c>
      <c r="G300" t="s">
        <v>112</v>
      </c>
      <c r="H300">
        <v>588</v>
      </c>
      <c r="I300" t="s">
        <v>43</v>
      </c>
      <c r="J300">
        <v>9</v>
      </c>
      <c r="K300">
        <v>4116</v>
      </c>
      <c r="L300">
        <v>9</v>
      </c>
      <c r="M300" t="s">
        <v>99</v>
      </c>
      <c r="N300">
        <v>6</v>
      </c>
      <c r="O300">
        <v>3.8</v>
      </c>
      <c r="P300" t="s">
        <v>66</v>
      </c>
      <c r="Q300" t="s">
        <v>38</v>
      </c>
      <c r="R300" t="s">
        <v>67</v>
      </c>
      <c r="S300">
        <v>1</v>
      </c>
      <c r="T300">
        <v>1</v>
      </c>
      <c r="U300">
        <v>0</v>
      </c>
      <c r="V300" t="s">
        <v>35</v>
      </c>
      <c r="W300" t="s">
        <v>36</v>
      </c>
      <c r="X300" t="s">
        <v>37</v>
      </c>
      <c r="Y300" t="s">
        <v>38</v>
      </c>
      <c r="Z300">
        <v>4.7</v>
      </c>
      <c r="AA300">
        <f t="shared" si="12"/>
        <v>7</v>
      </c>
      <c r="AB300" t="str">
        <f t="shared" si="13"/>
        <v>No</v>
      </c>
      <c r="AC300" t="str">
        <f t="shared" si="14"/>
        <v>Efficient</v>
      </c>
    </row>
    <row r="301" spans="1:29" x14ac:dyDescent="0.3">
      <c r="A301" t="s">
        <v>422</v>
      </c>
      <c r="B301" s="1">
        <v>46048</v>
      </c>
      <c r="C301" s="1">
        <v>46048</v>
      </c>
      <c r="D301" s="1">
        <v>46049</v>
      </c>
      <c r="E301" t="s">
        <v>92</v>
      </c>
      <c r="F301" t="s">
        <v>93</v>
      </c>
      <c r="G301" t="s">
        <v>94</v>
      </c>
      <c r="H301">
        <v>592</v>
      </c>
      <c r="I301" t="s">
        <v>87</v>
      </c>
      <c r="J301">
        <v>1</v>
      </c>
      <c r="K301">
        <v>5920</v>
      </c>
      <c r="L301">
        <v>10</v>
      </c>
      <c r="M301" t="s">
        <v>75</v>
      </c>
      <c r="N301">
        <v>11</v>
      </c>
      <c r="O301">
        <v>4</v>
      </c>
      <c r="P301" t="s">
        <v>66</v>
      </c>
      <c r="Q301" t="s">
        <v>38</v>
      </c>
      <c r="R301" t="s">
        <v>34</v>
      </c>
      <c r="S301">
        <v>1</v>
      </c>
      <c r="T301">
        <v>1</v>
      </c>
      <c r="U301">
        <v>0</v>
      </c>
      <c r="V301" t="s">
        <v>35</v>
      </c>
      <c r="W301" t="s">
        <v>36</v>
      </c>
      <c r="X301" t="s">
        <v>37</v>
      </c>
      <c r="Y301" t="s">
        <v>33</v>
      </c>
      <c r="Z301">
        <v>4</v>
      </c>
      <c r="AA301">
        <f t="shared" si="12"/>
        <v>10</v>
      </c>
      <c r="AB301" t="str">
        <f t="shared" si="13"/>
        <v>No</v>
      </c>
      <c r="AC301" t="str">
        <f t="shared" si="14"/>
        <v>Efficient</v>
      </c>
    </row>
    <row r="302" spans="1:29" x14ac:dyDescent="0.3">
      <c r="A302" t="s">
        <v>423</v>
      </c>
      <c r="B302" s="1">
        <v>46136</v>
      </c>
      <c r="C302" s="1">
        <v>46136</v>
      </c>
      <c r="D302" s="1">
        <v>46141</v>
      </c>
      <c r="E302" t="s">
        <v>92</v>
      </c>
      <c r="F302" t="s">
        <v>93</v>
      </c>
      <c r="G302" t="s">
        <v>94</v>
      </c>
      <c r="H302">
        <v>1508</v>
      </c>
      <c r="I302" t="s">
        <v>87</v>
      </c>
      <c r="J302">
        <v>6</v>
      </c>
      <c r="K302">
        <v>15080</v>
      </c>
      <c r="L302">
        <v>10</v>
      </c>
      <c r="M302" t="s">
        <v>114</v>
      </c>
      <c r="N302">
        <v>14</v>
      </c>
      <c r="O302">
        <v>3.7</v>
      </c>
      <c r="P302" t="s">
        <v>32</v>
      </c>
      <c r="Q302" t="s">
        <v>33</v>
      </c>
      <c r="R302" t="s">
        <v>34</v>
      </c>
      <c r="S302">
        <v>3</v>
      </c>
      <c r="T302">
        <v>5</v>
      </c>
      <c r="U302">
        <v>2</v>
      </c>
      <c r="V302" t="s">
        <v>46</v>
      </c>
      <c r="W302" t="s">
        <v>36</v>
      </c>
      <c r="X302" t="s">
        <v>47</v>
      </c>
      <c r="Y302" t="s">
        <v>38</v>
      </c>
      <c r="Z302">
        <v>4.9000000000000004</v>
      </c>
      <c r="AA302">
        <f t="shared" si="12"/>
        <v>10</v>
      </c>
      <c r="AB302" t="str">
        <f t="shared" si="13"/>
        <v>Yes</v>
      </c>
      <c r="AC302" t="str">
        <f t="shared" si="14"/>
        <v>Needs Improvement</v>
      </c>
    </row>
    <row r="303" spans="1:29" x14ac:dyDescent="0.3">
      <c r="A303" t="s">
        <v>424</v>
      </c>
      <c r="B303" s="1">
        <v>46089</v>
      </c>
      <c r="C303" s="1">
        <v>46089</v>
      </c>
      <c r="D303" s="1">
        <v>46093</v>
      </c>
      <c r="E303" t="s">
        <v>72</v>
      </c>
      <c r="F303" t="s">
        <v>73</v>
      </c>
      <c r="G303" t="s">
        <v>74</v>
      </c>
      <c r="H303">
        <v>1685</v>
      </c>
      <c r="I303" t="s">
        <v>60</v>
      </c>
      <c r="J303">
        <v>9</v>
      </c>
      <c r="K303">
        <v>15165</v>
      </c>
      <c r="L303">
        <v>6</v>
      </c>
      <c r="M303" t="s">
        <v>160</v>
      </c>
      <c r="N303">
        <v>9</v>
      </c>
      <c r="O303">
        <v>4.3</v>
      </c>
      <c r="P303" t="s">
        <v>45</v>
      </c>
      <c r="Q303" t="s">
        <v>33</v>
      </c>
      <c r="R303" t="s">
        <v>54</v>
      </c>
      <c r="S303">
        <v>3</v>
      </c>
      <c r="T303">
        <v>4</v>
      </c>
      <c r="U303">
        <v>1</v>
      </c>
      <c r="V303" t="s">
        <v>46</v>
      </c>
      <c r="W303" t="s">
        <v>55</v>
      </c>
      <c r="X303" t="s">
        <v>76</v>
      </c>
      <c r="Y303" t="s">
        <v>62</v>
      </c>
      <c r="Z303">
        <v>4.3</v>
      </c>
      <c r="AA303">
        <f t="shared" si="12"/>
        <v>9</v>
      </c>
      <c r="AB303" t="str">
        <f t="shared" si="13"/>
        <v>Yes</v>
      </c>
      <c r="AC303" t="str">
        <f t="shared" si="14"/>
        <v>Needs Improvement</v>
      </c>
    </row>
    <row r="304" spans="1:29" x14ac:dyDescent="0.3">
      <c r="A304" t="s">
        <v>425</v>
      </c>
      <c r="B304" s="1">
        <v>46112</v>
      </c>
      <c r="C304" s="1">
        <v>46114</v>
      </c>
      <c r="D304" s="1">
        <v>46117</v>
      </c>
      <c r="E304" t="s">
        <v>111</v>
      </c>
      <c r="F304" t="s">
        <v>27</v>
      </c>
      <c r="G304" t="s">
        <v>112</v>
      </c>
      <c r="H304">
        <v>413</v>
      </c>
      <c r="I304" t="s">
        <v>60</v>
      </c>
      <c r="J304">
        <v>3</v>
      </c>
      <c r="K304">
        <v>4130</v>
      </c>
      <c r="L304">
        <v>8</v>
      </c>
      <c r="M304" t="s">
        <v>186</v>
      </c>
      <c r="N304">
        <v>6</v>
      </c>
      <c r="O304">
        <v>4.3</v>
      </c>
      <c r="P304" t="s">
        <v>53</v>
      </c>
      <c r="Q304" t="s">
        <v>62</v>
      </c>
      <c r="R304" t="s">
        <v>34</v>
      </c>
      <c r="S304">
        <v>1</v>
      </c>
      <c r="T304">
        <v>3</v>
      </c>
      <c r="U304">
        <v>2</v>
      </c>
      <c r="V304" t="s">
        <v>46</v>
      </c>
      <c r="W304" t="s">
        <v>68</v>
      </c>
      <c r="X304" t="s">
        <v>95</v>
      </c>
      <c r="Y304" t="s">
        <v>33</v>
      </c>
      <c r="Z304">
        <v>3.9</v>
      </c>
      <c r="AA304">
        <f t="shared" si="12"/>
        <v>10</v>
      </c>
      <c r="AB304" t="str">
        <f t="shared" si="13"/>
        <v>Yes</v>
      </c>
      <c r="AC304" t="str">
        <f t="shared" si="14"/>
        <v>Needs Improvement</v>
      </c>
    </row>
    <row r="305" spans="1:29" x14ac:dyDescent="0.3">
      <c r="A305" t="s">
        <v>426</v>
      </c>
      <c r="B305" s="1">
        <v>46115</v>
      </c>
      <c r="C305" s="1">
        <v>46116</v>
      </c>
      <c r="D305" s="1">
        <v>46119</v>
      </c>
      <c r="E305" t="s">
        <v>40</v>
      </c>
      <c r="F305" t="s">
        <v>41</v>
      </c>
      <c r="G305" t="s">
        <v>42</v>
      </c>
      <c r="H305">
        <v>1353</v>
      </c>
      <c r="I305" t="s">
        <v>60</v>
      </c>
      <c r="J305">
        <v>7</v>
      </c>
      <c r="K305">
        <v>16236</v>
      </c>
      <c r="L305">
        <v>9</v>
      </c>
      <c r="M305" t="s">
        <v>31</v>
      </c>
      <c r="N305">
        <v>5</v>
      </c>
      <c r="O305">
        <v>3.7</v>
      </c>
      <c r="P305" t="s">
        <v>53</v>
      </c>
      <c r="Q305" t="s">
        <v>62</v>
      </c>
      <c r="R305" t="s">
        <v>34</v>
      </c>
      <c r="S305">
        <v>3</v>
      </c>
      <c r="T305">
        <v>3</v>
      </c>
      <c r="U305">
        <v>0</v>
      </c>
      <c r="V305" t="s">
        <v>35</v>
      </c>
      <c r="W305" t="s">
        <v>68</v>
      </c>
      <c r="X305" t="s">
        <v>76</v>
      </c>
      <c r="Y305" t="s">
        <v>38</v>
      </c>
      <c r="Z305">
        <v>4</v>
      </c>
      <c r="AA305">
        <f t="shared" si="12"/>
        <v>12</v>
      </c>
      <c r="AB305" t="str">
        <f t="shared" si="13"/>
        <v>No</v>
      </c>
      <c r="AC305" t="str">
        <f t="shared" si="14"/>
        <v>Efficient</v>
      </c>
    </row>
    <row r="306" spans="1:29" x14ac:dyDescent="0.3">
      <c r="A306" t="s">
        <v>427</v>
      </c>
      <c r="B306" s="1">
        <v>46136</v>
      </c>
      <c r="C306" s="1">
        <v>46137</v>
      </c>
      <c r="D306" s="1">
        <v>46138</v>
      </c>
      <c r="E306" t="s">
        <v>27</v>
      </c>
      <c r="F306" t="s">
        <v>28</v>
      </c>
      <c r="G306" t="s">
        <v>29</v>
      </c>
      <c r="H306">
        <v>815</v>
      </c>
      <c r="I306" t="s">
        <v>60</v>
      </c>
      <c r="J306">
        <v>4</v>
      </c>
      <c r="K306">
        <v>9780</v>
      </c>
      <c r="L306">
        <v>7</v>
      </c>
      <c r="M306" t="s">
        <v>135</v>
      </c>
      <c r="N306">
        <v>13</v>
      </c>
      <c r="O306">
        <v>4.5999999999999996</v>
      </c>
      <c r="P306" t="s">
        <v>66</v>
      </c>
      <c r="Q306" t="s">
        <v>33</v>
      </c>
      <c r="R306" t="s">
        <v>54</v>
      </c>
      <c r="S306">
        <v>1</v>
      </c>
      <c r="T306">
        <v>1</v>
      </c>
      <c r="U306">
        <v>0</v>
      </c>
      <c r="V306" t="s">
        <v>35</v>
      </c>
      <c r="W306" t="s">
        <v>68</v>
      </c>
      <c r="X306" t="s">
        <v>47</v>
      </c>
      <c r="Y306" t="s">
        <v>38</v>
      </c>
      <c r="Z306">
        <v>3.3</v>
      </c>
      <c r="AA306">
        <f t="shared" si="12"/>
        <v>12</v>
      </c>
      <c r="AB306" t="str">
        <f t="shared" si="13"/>
        <v>No</v>
      </c>
      <c r="AC306" t="str">
        <f t="shared" si="14"/>
        <v>Efficient</v>
      </c>
    </row>
    <row r="307" spans="1:29" x14ac:dyDescent="0.3">
      <c r="A307" t="s">
        <v>428</v>
      </c>
      <c r="B307" s="1">
        <v>46069</v>
      </c>
      <c r="C307" s="1">
        <v>46071</v>
      </c>
      <c r="D307" s="1">
        <v>46073</v>
      </c>
      <c r="E307" t="s">
        <v>40</v>
      </c>
      <c r="F307" t="s">
        <v>41</v>
      </c>
      <c r="G307" t="s">
        <v>42</v>
      </c>
      <c r="H307">
        <v>677</v>
      </c>
      <c r="I307" t="s">
        <v>30</v>
      </c>
      <c r="J307">
        <v>5</v>
      </c>
      <c r="K307">
        <v>4062</v>
      </c>
      <c r="L307">
        <v>9</v>
      </c>
      <c r="M307" t="s">
        <v>205</v>
      </c>
      <c r="N307">
        <v>10</v>
      </c>
      <c r="O307">
        <v>4.8</v>
      </c>
      <c r="P307" t="s">
        <v>32</v>
      </c>
      <c r="Q307" t="s">
        <v>33</v>
      </c>
      <c r="R307" t="s">
        <v>34</v>
      </c>
      <c r="S307">
        <v>1</v>
      </c>
      <c r="T307">
        <v>2</v>
      </c>
      <c r="U307">
        <v>1</v>
      </c>
      <c r="V307" t="s">
        <v>46</v>
      </c>
      <c r="W307" t="s">
        <v>68</v>
      </c>
      <c r="X307" t="s">
        <v>76</v>
      </c>
      <c r="Y307" t="s">
        <v>38</v>
      </c>
      <c r="Z307">
        <v>4.2</v>
      </c>
      <c r="AA307">
        <f t="shared" si="12"/>
        <v>6</v>
      </c>
      <c r="AB307" t="str">
        <f t="shared" si="13"/>
        <v>Yes</v>
      </c>
      <c r="AC307" t="str">
        <f t="shared" si="14"/>
        <v>Needs Improvement</v>
      </c>
    </row>
    <row r="308" spans="1:29" x14ac:dyDescent="0.3">
      <c r="A308" t="s">
        <v>429</v>
      </c>
      <c r="B308" s="1">
        <v>46061</v>
      </c>
      <c r="C308" s="1">
        <v>46061</v>
      </c>
      <c r="D308" s="1">
        <v>46067</v>
      </c>
      <c r="E308" t="s">
        <v>111</v>
      </c>
      <c r="F308" t="s">
        <v>27</v>
      </c>
      <c r="G308" t="s">
        <v>112</v>
      </c>
      <c r="H308">
        <v>360</v>
      </c>
      <c r="I308" t="s">
        <v>87</v>
      </c>
      <c r="J308">
        <v>6</v>
      </c>
      <c r="K308">
        <v>2880</v>
      </c>
      <c r="L308">
        <v>8</v>
      </c>
      <c r="M308" t="s">
        <v>114</v>
      </c>
      <c r="N308">
        <v>15</v>
      </c>
      <c r="O308">
        <v>4.7</v>
      </c>
      <c r="P308" t="s">
        <v>45</v>
      </c>
      <c r="Q308" t="s">
        <v>33</v>
      </c>
      <c r="R308" t="s">
        <v>54</v>
      </c>
      <c r="S308">
        <v>1</v>
      </c>
      <c r="T308">
        <v>6</v>
      </c>
      <c r="U308">
        <v>5</v>
      </c>
      <c r="V308" t="s">
        <v>46</v>
      </c>
      <c r="W308" t="s">
        <v>68</v>
      </c>
      <c r="X308" t="s">
        <v>63</v>
      </c>
      <c r="Y308" t="s">
        <v>62</v>
      </c>
      <c r="Z308">
        <v>4</v>
      </c>
      <c r="AA308">
        <f t="shared" si="12"/>
        <v>8</v>
      </c>
      <c r="AB308" t="str">
        <f t="shared" si="13"/>
        <v>Yes</v>
      </c>
      <c r="AC308" t="str">
        <f t="shared" si="14"/>
        <v>Needs Improvement</v>
      </c>
    </row>
    <row r="309" spans="1:29" x14ac:dyDescent="0.3">
      <c r="A309" t="s">
        <v>430</v>
      </c>
      <c r="B309" s="1">
        <v>46063</v>
      </c>
      <c r="C309" s="1">
        <v>46065</v>
      </c>
      <c r="D309" s="1">
        <v>46067</v>
      </c>
      <c r="E309" t="s">
        <v>82</v>
      </c>
      <c r="F309" t="s">
        <v>83</v>
      </c>
      <c r="G309" t="s">
        <v>84</v>
      </c>
      <c r="H309">
        <v>869</v>
      </c>
      <c r="I309" t="s">
        <v>60</v>
      </c>
      <c r="J309">
        <v>3</v>
      </c>
      <c r="K309">
        <v>5214</v>
      </c>
      <c r="L309">
        <v>10</v>
      </c>
      <c r="M309" t="s">
        <v>78</v>
      </c>
      <c r="N309">
        <v>7</v>
      </c>
      <c r="O309">
        <v>4.9000000000000004</v>
      </c>
      <c r="P309" t="s">
        <v>32</v>
      </c>
      <c r="Q309" t="s">
        <v>38</v>
      </c>
      <c r="R309" t="s">
        <v>34</v>
      </c>
      <c r="S309">
        <v>1</v>
      </c>
      <c r="T309">
        <v>2</v>
      </c>
      <c r="U309">
        <v>1</v>
      </c>
      <c r="V309" t="s">
        <v>46</v>
      </c>
      <c r="W309" t="s">
        <v>68</v>
      </c>
      <c r="X309" t="s">
        <v>37</v>
      </c>
      <c r="Y309" t="s">
        <v>38</v>
      </c>
      <c r="Z309">
        <v>3.7</v>
      </c>
      <c r="AA309">
        <f t="shared" si="12"/>
        <v>6</v>
      </c>
      <c r="AB309" t="str">
        <f t="shared" si="13"/>
        <v>Yes</v>
      </c>
      <c r="AC309" t="str">
        <f t="shared" si="14"/>
        <v>Needs Improvement</v>
      </c>
    </row>
    <row r="310" spans="1:29" x14ac:dyDescent="0.3">
      <c r="A310" t="s">
        <v>431</v>
      </c>
      <c r="B310" s="1">
        <v>46083</v>
      </c>
      <c r="C310" s="1">
        <v>46085</v>
      </c>
      <c r="D310" s="1">
        <v>46088</v>
      </c>
      <c r="E310" t="s">
        <v>27</v>
      </c>
      <c r="F310" t="s">
        <v>28</v>
      </c>
      <c r="G310" t="s">
        <v>29</v>
      </c>
      <c r="H310">
        <v>1322</v>
      </c>
      <c r="I310" t="s">
        <v>43</v>
      </c>
      <c r="J310">
        <v>5</v>
      </c>
      <c r="K310">
        <v>7932</v>
      </c>
      <c r="L310">
        <v>8</v>
      </c>
      <c r="M310" t="s">
        <v>186</v>
      </c>
      <c r="N310">
        <v>7</v>
      </c>
      <c r="O310">
        <v>4.5</v>
      </c>
      <c r="P310" t="s">
        <v>45</v>
      </c>
      <c r="Q310" t="s">
        <v>38</v>
      </c>
      <c r="R310" t="s">
        <v>34</v>
      </c>
      <c r="S310">
        <v>2</v>
      </c>
      <c r="T310">
        <v>3</v>
      </c>
      <c r="U310">
        <v>1</v>
      </c>
      <c r="V310" t="s">
        <v>46</v>
      </c>
      <c r="W310" t="s">
        <v>68</v>
      </c>
      <c r="X310" t="s">
        <v>95</v>
      </c>
      <c r="Y310" t="s">
        <v>33</v>
      </c>
      <c r="Z310">
        <v>4.0999999999999996</v>
      </c>
      <c r="AA310">
        <f t="shared" si="12"/>
        <v>6</v>
      </c>
      <c r="AB310" t="str">
        <f t="shared" si="13"/>
        <v>Yes</v>
      </c>
      <c r="AC310" t="str">
        <f t="shared" si="14"/>
        <v>Needs Improvement</v>
      </c>
    </row>
    <row r="311" spans="1:29" x14ac:dyDescent="0.3">
      <c r="A311" t="s">
        <v>432</v>
      </c>
      <c r="B311" s="1">
        <v>46094</v>
      </c>
      <c r="C311" s="1">
        <v>46096</v>
      </c>
      <c r="D311" s="1">
        <v>46098</v>
      </c>
      <c r="E311" t="s">
        <v>40</v>
      </c>
      <c r="F311" t="s">
        <v>41</v>
      </c>
      <c r="G311" t="s">
        <v>42</v>
      </c>
      <c r="H311">
        <v>696</v>
      </c>
      <c r="I311" t="s">
        <v>87</v>
      </c>
      <c r="J311">
        <v>5</v>
      </c>
      <c r="K311">
        <v>8352</v>
      </c>
      <c r="L311">
        <v>8</v>
      </c>
      <c r="M311" t="s">
        <v>226</v>
      </c>
      <c r="N311">
        <v>11</v>
      </c>
      <c r="O311">
        <v>4.8</v>
      </c>
      <c r="P311" t="s">
        <v>32</v>
      </c>
      <c r="Q311" t="s">
        <v>38</v>
      </c>
      <c r="R311" t="s">
        <v>54</v>
      </c>
      <c r="S311">
        <v>1</v>
      </c>
      <c r="T311">
        <v>2</v>
      </c>
      <c r="U311">
        <v>1</v>
      </c>
      <c r="V311" t="s">
        <v>46</v>
      </c>
      <c r="W311" t="s">
        <v>68</v>
      </c>
      <c r="X311" t="s">
        <v>47</v>
      </c>
      <c r="Y311" t="s">
        <v>62</v>
      </c>
      <c r="Z311">
        <v>3.4</v>
      </c>
      <c r="AA311">
        <f t="shared" si="12"/>
        <v>12</v>
      </c>
      <c r="AB311" t="str">
        <f t="shared" si="13"/>
        <v>Yes</v>
      </c>
      <c r="AC311" t="str">
        <f t="shared" si="14"/>
        <v>Needs Improvement</v>
      </c>
    </row>
    <row r="312" spans="1:29" x14ac:dyDescent="0.3">
      <c r="A312" t="s">
        <v>433</v>
      </c>
      <c r="B312" s="1">
        <v>46067</v>
      </c>
      <c r="C312" s="1">
        <v>46069</v>
      </c>
      <c r="D312" s="1">
        <v>46073</v>
      </c>
      <c r="E312" t="s">
        <v>27</v>
      </c>
      <c r="F312" t="s">
        <v>28</v>
      </c>
      <c r="G312" t="s">
        <v>29</v>
      </c>
      <c r="H312">
        <v>1776</v>
      </c>
      <c r="I312" t="s">
        <v>30</v>
      </c>
      <c r="J312">
        <v>3</v>
      </c>
      <c r="K312">
        <v>14208</v>
      </c>
      <c r="L312">
        <v>9</v>
      </c>
      <c r="M312" t="s">
        <v>128</v>
      </c>
      <c r="N312">
        <v>10</v>
      </c>
      <c r="O312">
        <v>3.3</v>
      </c>
      <c r="P312" t="s">
        <v>32</v>
      </c>
      <c r="Q312" t="s">
        <v>38</v>
      </c>
      <c r="R312" t="s">
        <v>67</v>
      </c>
      <c r="S312">
        <v>3</v>
      </c>
      <c r="T312">
        <v>4</v>
      </c>
      <c r="U312">
        <v>1</v>
      </c>
      <c r="V312" t="s">
        <v>46</v>
      </c>
      <c r="W312" t="s">
        <v>36</v>
      </c>
      <c r="X312" t="s">
        <v>63</v>
      </c>
      <c r="Y312" t="s">
        <v>38</v>
      </c>
      <c r="Z312">
        <v>4.5</v>
      </c>
      <c r="AA312">
        <f t="shared" si="12"/>
        <v>8</v>
      </c>
      <c r="AB312" t="str">
        <f t="shared" si="13"/>
        <v>Yes</v>
      </c>
      <c r="AC312" t="str">
        <f t="shared" si="14"/>
        <v>Needs Improvement</v>
      </c>
    </row>
    <row r="313" spans="1:29" x14ac:dyDescent="0.3">
      <c r="A313" t="s">
        <v>434</v>
      </c>
      <c r="B313" s="1">
        <v>46054</v>
      </c>
      <c r="C313" s="1">
        <v>46056</v>
      </c>
      <c r="D313" s="1">
        <v>46058</v>
      </c>
      <c r="E313" t="s">
        <v>82</v>
      </c>
      <c r="F313" t="s">
        <v>83</v>
      </c>
      <c r="G313" t="s">
        <v>84</v>
      </c>
      <c r="H313">
        <v>789</v>
      </c>
      <c r="I313" t="s">
        <v>87</v>
      </c>
      <c r="J313">
        <v>6</v>
      </c>
      <c r="K313">
        <v>8679</v>
      </c>
      <c r="L313">
        <v>5</v>
      </c>
      <c r="M313" t="s">
        <v>131</v>
      </c>
      <c r="N313">
        <v>8</v>
      </c>
      <c r="O313">
        <v>3.9</v>
      </c>
      <c r="P313" t="s">
        <v>66</v>
      </c>
      <c r="Q313" t="s">
        <v>38</v>
      </c>
      <c r="R313" t="s">
        <v>54</v>
      </c>
      <c r="S313">
        <v>1</v>
      </c>
      <c r="T313">
        <v>2</v>
      </c>
      <c r="U313">
        <v>1</v>
      </c>
      <c r="V313" t="s">
        <v>46</v>
      </c>
      <c r="W313" t="s">
        <v>36</v>
      </c>
      <c r="X313" t="s">
        <v>76</v>
      </c>
      <c r="Y313" t="s">
        <v>33</v>
      </c>
      <c r="Z313">
        <v>4.5</v>
      </c>
      <c r="AA313">
        <f t="shared" si="12"/>
        <v>11</v>
      </c>
      <c r="AB313" t="str">
        <f t="shared" si="13"/>
        <v>Yes</v>
      </c>
      <c r="AC313" t="str">
        <f t="shared" si="14"/>
        <v>Needs Improvement</v>
      </c>
    </row>
    <row r="314" spans="1:29" x14ac:dyDescent="0.3">
      <c r="A314" t="s">
        <v>435</v>
      </c>
      <c r="B314" s="1">
        <v>46093</v>
      </c>
      <c r="C314" s="1">
        <v>46094</v>
      </c>
      <c r="D314" s="1">
        <v>46098</v>
      </c>
      <c r="E314" t="s">
        <v>82</v>
      </c>
      <c r="F314" t="s">
        <v>83</v>
      </c>
      <c r="G314" t="s">
        <v>84</v>
      </c>
      <c r="H314">
        <v>1623</v>
      </c>
      <c r="I314" t="s">
        <v>87</v>
      </c>
      <c r="J314">
        <v>7</v>
      </c>
      <c r="K314">
        <v>16230</v>
      </c>
      <c r="L314">
        <v>10</v>
      </c>
      <c r="M314" t="s">
        <v>85</v>
      </c>
      <c r="N314">
        <v>1</v>
      </c>
      <c r="O314">
        <v>3.5</v>
      </c>
      <c r="P314" t="s">
        <v>32</v>
      </c>
      <c r="Q314" t="s">
        <v>62</v>
      </c>
      <c r="R314" t="s">
        <v>67</v>
      </c>
      <c r="S314">
        <v>3</v>
      </c>
      <c r="T314">
        <v>4</v>
      </c>
      <c r="U314">
        <v>1</v>
      </c>
      <c r="V314" t="s">
        <v>46</v>
      </c>
      <c r="W314" t="s">
        <v>36</v>
      </c>
      <c r="X314" t="s">
        <v>95</v>
      </c>
      <c r="Y314" t="s">
        <v>33</v>
      </c>
      <c r="Z314">
        <v>4.9000000000000004</v>
      </c>
      <c r="AA314">
        <f t="shared" si="12"/>
        <v>10</v>
      </c>
      <c r="AB314" t="str">
        <f t="shared" si="13"/>
        <v>Yes</v>
      </c>
      <c r="AC314" t="str">
        <f t="shared" si="14"/>
        <v>Needs Improvement</v>
      </c>
    </row>
    <row r="315" spans="1:29" x14ac:dyDescent="0.3">
      <c r="A315" t="s">
        <v>436</v>
      </c>
      <c r="B315" s="1">
        <v>46031</v>
      </c>
      <c r="C315" s="1">
        <v>46032</v>
      </c>
      <c r="D315" s="1">
        <v>46038</v>
      </c>
      <c r="E315" t="s">
        <v>57</v>
      </c>
      <c r="F315" t="s">
        <v>58</v>
      </c>
      <c r="G315" t="s">
        <v>59</v>
      </c>
      <c r="H315">
        <v>1557</v>
      </c>
      <c r="I315" t="s">
        <v>30</v>
      </c>
      <c r="J315">
        <v>2</v>
      </c>
      <c r="K315">
        <v>9342</v>
      </c>
      <c r="L315">
        <v>7</v>
      </c>
      <c r="M315" t="s">
        <v>97</v>
      </c>
      <c r="N315">
        <v>7</v>
      </c>
      <c r="O315">
        <v>3.5</v>
      </c>
      <c r="P315" t="s">
        <v>53</v>
      </c>
      <c r="Q315" t="s">
        <v>33</v>
      </c>
      <c r="R315" t="s">
        <v>54</v>
      </c>
      <c r="S315">
        <v>3</v>
      </c>
      <c r="T315">
        <v>6</v>
      </c>
      <c r="U315">
        <v>3</v>
      </c>
      <c r="V315" t="s">
        <v>46</v>
      </c>
      <c r="W315" t="s">
        <v>55</v>
      </c>
      <c r="X315" t="s">
        <v>76</v>
      </c>
      <c r="Y315" t="s">
        <v>38</v>
      </c>
      <c r="Z315">
        <v>3.4</v>
      </c>
      <c r="AA315">
        <f t="shared" si="12"/>
        <v>6</v>
      </c>
      <c r="AB315" t="str">
        <f t="shared" si="13"/>
        <v>Yes</v>
      </c>
      <c r="AC315" t="str">
        <f t="shared" si="14"/>
        <v>Needs Improvement</v>
      </c>
    </row>
    <row r="316" spans="1:29" x14ac:dyDescent="0.3">
      <c r="A316" t="s">
        <v>437</v>
      </c>
      <c r="B316" s="1">
        <v>46087</v>
      </c>
      <c r="C316" s="1">
        <v>46088</v>
      </c>
      <c r="D316" s="1">
        <v>46091</v>
      </c>
      <c r="E316" t="s">
        <v>27</v>
      </c>
      <c r="F316" t="s">
        <v>28</v>
      </c>
      <c r="G316" t="s">
        <v>29</v>
      </c>
      <c r="H316">
        <v>281</v>
      </c>
      <c r="I316" t="s">
        <v>60</v>
      </c>
      <c r="J316">
        <v>9</v>
      </c>
      <c r="K316">
        <v>2248</v>
      </c>
      <c r="L316">
        <v>7</v>
      </c>
      <c r="M316" t="s">
        <v>153</v>
      </c>
      <c r="N316">
        <v>7</v>
      </c>
      <c r="O316">
        <v>4.5</v>
      </c>
      <c r="P316" t="s">
        <v>32</v>
      </c>
      <c r="Q316" t="s">
        <v>62</v>
      </c>
      <c r="R316" t="s">
        <v>54</v>
      </c>
      <c r="S316">
        <v>1</v>
      </c>
      <c r="T316">
        <v>3</v>
      </c>
      <c r="U316">
        <v>2</v>
      </c>
      <c r="V316" t="s">
        <v>46</v>
      </c>
      <c r="W316" t="s">
        <v>68</v>
      </c>
      <c r="X316" t="s">
        <v>47</v>
      </c>
      <c r="Y316" t="s">
        <v>38</v>
      </c>
      <c r="Z316">
        <v>5</v>
      </c>
      <c r="AA316">
        <f t="shared" si="12"/>
        <v>8</v>
      </c>
      <c r="AB316" t="str">
        <f t="shared" si="13"/>
        <v>Yes</v>
      </c>
      <c r="AC316" t="str">
        <f t="shared" si="14"/>
        <v>Needs Improvement</v>
      </c>
    </row>
    <row r="317" spans="1:29" x14ac:dyDescent="0.3">
      <c r="A317" t="s">
        <v>438</v>
      </c>
      <c r="B317" s="1">
        <v>46087</v>
      </c>
      <c r="C317" s="1">
        <v>46088</v>
      </c>
      <c r="D317" s="1">
        <v>46091</v>
      </c>
      <c r="E317" t="s">
        <v>27</v>
      </c>
      <c r="F317" t="s">
        <v>28</v>
      </c>
      <c r="G317" t="s">
        <v>29</v>
      </c>
      <c r="H317">
        <v>1481</v>
      </c>
      <c r="I317" t="s">
        <v>30</v>
      </c>
      <c r="J317">
        <v>7</v>
      </c>
      <c r="K317">
        <v>17772</v>
      </c>
      <c r="L317">
        <v>5</v>
      </c>
      <c r="M317" t="s">
        <v>88</v>
      </c>
      <c r="N317">
        <v>5</v>
      </c>
      <c r="O317">
        <v>3.5</v>
      </c>
      <c r="P317" t="s">
        <v>66</v>
      </c>
      <c r="Q317" t="s">
        <v>62</v>
      </c>
      <c r="R317" t="s">
        <v>54</v>
      </c>
      <c r="S317">
        <v>3</v>
      </c>
      <c r="T317">
        <v>3</v>
      </c>
      <c r="U317">
        <v>0</v>
      </c>
      <c r="V317" t="s">
        <v>35</v>
      </c>
      <c r="W317" t="s">
        <v>55</v>
      </c>
      <c r="X317" t="s">
        <v>95</v>
      </c>
      <c r="Y317" t="s">
        <v>33</v>
      </c>
      <c r="Z317">
        <v>4.9000000000000004</v>
      </c>
      <c r="AA317">
        <f t="shared" si="12"/>
        <v>12</v>
      </c>
      <c r="AB317" t="str">
        <f t="shared" si="13"/>
        <v>No</v>
      </c>
      <c r="AC317" t="str">
        <f t="shared" si="14"/>
        <v>Efficient</v>
      </c>
    </row>
    <row r="318" spans="1:29" x14ac:dyDescent="0.3">
      <c r="A318" t="s">
        <v>439</v>
      </c>
      <c r="B318" s="1">
        <v>46101</v>
      </c>
      <c r="C318" s="1">
        <v>46103</v>
      </c>
      <c r="D318" s="1">
        <v>46106</v>
      </c>
      <c r="E318" t="s">
        <v>40</v>
      </c>
      <c r="F318" t="s">
        <v>41</v>
      </c>
      <c r="G318" t="s">
        <v>42</v>
      </c>
      <c r="H318">
        <v>1054</v>
      </c>
      <c r="I318" t="s">
        <v>60</v>
      </c>
      <c r="J318">
        <v>10</v>
      </c>
      <c r="K318">
        <v>7378</v>
      </c>
      <c r="L318">
        <v>8</v>
      </c>
      <c r="M318" t="s">
        <v>131</v>
      </c>
      <c r="N318">
        <v>15</v>
      </c>
      <c r="O318">
        <v>4.2</v>
      </c>
      <c r="P318" t="s">
        <v>53</v>
      </c>
      <c r="Q318" t="s">
        <v>33</v>
      </c>
      <c r="R318" t="s">
        <v>67</v>
      </c>
      <c r="S318">
        <v>2</v>
      </c>
      <c r="T318">
        <v>3</v>
      </c>
      <c r="U318">
        <v>1</v>
      </c>
      <c r="V318" t="s">
        <v>46</v>
      </c>
      <c r="W318" t="s">
        <v>55</v>
      </c>
      <c r="X318" t="s">
        <v>76</v>
      </c>
      <c r="Y318" t="s">
        <v>33</v>
      </c>
      <c r="Z318">
        <v>4.5999999999999996</v>
      </c>
      <c r="AA318">
        <f t="shared" si="12"/>
        <v>7</v>
      </c>
      <c r="AB318" t="str">
        <f t="shared" si="13"/>
        <v>Yes</v>
      </c>
      <c r="AC318" t="str">
        <f t="shared" si="14"/>
        <v>Needs Improvement</v>
      </c>
    </row>
    <row r="319" spans="1:29" x14ac:dyDescent="0.3">
      <c r="A319" t="s">
        <v>440</v>
      </c>
      <c r="B319" s="1">
        <v>46133</v>
      </c>
      <c r="C319" s="1">
        <v>46133</v>
      </c>
      <c r="D319" s="1">
        <v>46136</v>
      </c>
      <c r="E319" t="s">
        <v>57</v>
      </c>
      <c r="F319" t="s">
        <v>58</v>
      </c>
      <c r="G319" t="s">
        <v>59</v>
      </c>
      <c r="H319">
        <v>1610</v>
      </c>
      <c r="I319" t="s">
        <v>60</v>
      </c>
      <c r="J319">
        <v>7</v>
      </c>
      <c r="K319">
        <v>19320</v>
      </c>
      <c r="L319">
        <v>6</v>
      </c>
      <c r="M319" t="s">
        <v>97</v>
      </c>
      <c r="N319">
        <v>15</v>
      </c>
      <c r="O319">
        <v>4.0999999999999996</v>
      </c>
      <c r="P319" t="s">
        <v>45</v>
      </c>
      <c r="Q319" t="s">
        <v>62</v>
      </c>
      <c r="R319" t="s">
        <v>67</v>
      </c>
      <c r="S319">
        <v>3</v>
      </c>
      <c r="T319">
        <v>3</v>
      </c>
      <c r="U319">
        <v>0</v>
      </c>
      <c r="V319" t="s">
        <v>35</v>
      </c>
      <c r="W319" t="s">
        <v>36</v>
      </c>
      <c r="X319" t="s">
        <v>47</v>
      </c>
      <c r="Y319" t="s">
        <v>38</v>
      </c>
      <c r="Z319">
        <v>4.5</v>
      </c>
      <c r="AA319">
        <f t="shared" si="12"/>
        <v>12</v>
      </c>
      <c r="AB319" t="str">
        <f t="shared" si="13"/>
        <v>No</v>
      </c>
      <c r="AC319" t="str">
        <f t="shared" si="14"/>
        <v>Efficient</v>
      </c>
    </row>
    <row r="320" spans="1:29" x14ac:dyDescent="0.3">
      <c r="A320" t="s">
        <v>441</v>
      </c>
      <c r="B320" s="1">
        <v>46120</v>
      </c>
      <c r="C320" s="1">
        <v>46121</v>
      </c>
      <c r="D320" s="1">
        <v>46123</v>
      </c>
      <c r="E320" t="s">
        <v>111</v>
      </c>
      <c r="F320" t="s">
        <v>27</v>
      </c>
      <c r="G320" t="s">
        <v>112</v>
      </c>
      <c r="H320">
        <v>1042</v>
      </c>
      <c r="I320" t="s">
        <v>30</v>
      </c>
      <c r="J320">
        <v>8</v>
      </c>
      <c r="K320">
        <v>11462</v>
      </c>
      <c r="L320">
        <v>10</v>
      </c>
      <c r="M320" t="s">
        <v>31</v>
      </c>
      <c r="N320">
        <v>5</v>
      </c>
      <c r="O320">
        <v>3.3</v>
      </c>
      <c r="P320" t="s">
        <v>45</v>
      </c>
      <c r="Q320" t="s">
        <v>38</v>
      </c>
      <c r="R320" t="s">
        <v>67</v>
      </c>
      <c r="S320">
        <v>2</v>
      </c>
      <c r="T320">
        <v>2</v>
      </c>
      <c r="U320">
        <v>0</v>
      </c>
      <c r="V320" t="s">
        <v>35</v>
      </c>
      <c r="W320" t="s">
        <v>55</v>
      </c>
      <c r="X320" t="s">
        <v>76</v>
      </c>
      <c r="Y320" t="s">
        <v>62</v>
      </c>
      <c r="Z320">
        <v>4.2</v>
      </c>
      <c r="AA320">
        <f t="shared" si="12"/>
        <v>11</v>
      </c>
      <c r="AB320" t="str">
        <f t="shared" si="13"/>
        <v>No</v>
      </c>
      <c r="AC320" t="str">
        <f t="shared" si="14"/>
        <v>Efficient</v>
      </c>
    </row>
    <row r="321" spans="1:29" x14ac:dyDescent="0.3">
      <c r="A321" t="s">
        <v>442</v>
      </c>
      <c r="B321" s="1">
        <v>46101</v>
      </c>
      <c r="C321" s="1">
        <v>46101</v>
      </c>
      <c r="D321" s="1">
        <v>46105</v>
      </c>
      <c r="E321" t="s">
        <v>40</v>
      </c>
      <c r="F321" t="s">
        <v>41</v>
      </c>
      <c r="G321" t="s">
        <v>42</v>
      </c>
      <c r="H321">
        <v>672</v>
      </c>
      <c r="I321" t="s">
        <v>87</v>
      </c>
      <c r="J321">
        <v>6</v>
      </c>
      <c r="K321">
        <v>4032</v>
      </c>
      <c r="L321">
        <v>10</v>
      </c>
      <c r="M321" t="s">
        <v>170</v>
      </c>
      <c r="N321">
        <v>8</v>
      </c>
      <c r="O321">
        <v>3.3</v>
      </c>
      <c r="P321" t="s">
        <v>53</v>
      </c>
      <c r="Q321" t="s">
        <v>33</v>
      </c>
      <c r="R321" t="s">
        <v>54</v>
      </c>
      <c r="S321">
        <v>1</v>
      </c>
      <c r="T321">
        <v>4</v>
      </c>
      <c r="U321">
        <v>3</v>
      </c>
      <c r="V321" t="s">
        <v>46</v>
      </c>
      <c r="W321" t="s">
        <v>68</v>
      </c>
      <c r="X321" t="s">
        <v>95</v>
      </c>
      <c r="Y321" t="s">
        <v>38</v>
      </c>
      <c r="Z321">
        <v>3.3</v>
      </c>
      <c r="AA321">
        <f t="shared" si="12"/>
        <v>6</v>
      </c>
      <c r="AB321" t="str">
        <f t="shared" si="13"/>
        <v>Yes</v>
      </c>
      <c r="AC321" t="str">
        <f t="shared" si="14"/>
        <v>Needs Improvement</v>
      </c>
    </row>
    <row r="322" spans="1:29" x14ac:dyDescent="0.3">
      <c r="A322" t="s">
        <v>443</v>
      </c>
      <c r="B322" s="1">
        <v>46051</v>
      </c>
      <c r="C322" s="1">
        <v>46051</v>
      </c>
      <c r="D322" s="1">
        <v>46056</v>
      </c>
      <c r="E322" t="s">
        <v>111</v>
      </c>
      <c r="F322" t="s">
        <v>27</v>
      </c>
      <c r="G322" t="s">
        <v>112</v>
      </c>
      <c r="H322">
        <v>1765</v>
      </c>
      <c r="I322" t="s">
        <v>87</v>
      </c>
      <c r="J322">
        <v>5</v>
      </c>
      <c r="K322">
        <v>15885</v>
      </c>
      <c r="L322">
        <v>6</v>
      </c>
      <c r="M322" t="s">
        <v>31</v>
      </c>
      <c r="N322">
        <v>11</v>
      </c>
      <c r="O322">
        <v>5</v>
      </c>
      <c r="P322" t="s">
        <v>45</v>
      </c>
      <c r="Q322" t="s">
        <v>38</v>
      </c>
      <c r="R322" t="s">
        <v>67</v>
      </c>
      <c r="S322">
        <v>3</v>
      </c>
      <c r="T322">
        <v>5</v>
      </c>
      <c r="U322">
        <v>2</v>
      </c>
      <c r="V322" t="s">
        <v>46</v>
      </c>
      <c r="W322" t="s">
        <v>68</v>
      </c>
      <c r="X322" t="s">
        <v>47</v>
      </c>
      <c r="Y322" t="s">
        <v>62</v>
      </c>
      <c r="Z322">
        <v>4.8</v>
      </c>
      <c r="AA322">
        <f t="shared" si="12"/>
        <v>9</v>
      </c>
      <c r="AB322" t="str">
        <f t="shared" si="13"/>
        <v>Yes</v>
      </c>
      <c r="AC322" t="str">
        <f t="shared" si="14"/>
        <v>Needs Improvement</v>
      </c>
    </row>
    <row r="323" spans="1:29" x14ac:dyDescent="0.3">
      <c r="A323" t="s">
        <v>444</v>
      </c>
      <c r="B323" s="1">
        <v>46077</v>
      </c>
      <c r="C323" s="1">
        <v>46078</v>
      </c>
      <c r="D323" s="1">
        <v>46084</v>
      </c>
      <c r="E323" t="s">
        <v>27</v>
      </c>
      <c r="F323" t="s">
        <v>28</v>
      </c>
      <c r="G323" t="s">
        <v>29</v>
      </c>
      <c r="H323">
        <v>1445</v>
      </c>
      <c r="I323" t="s">
        <v>43</v>
      </c>
      <c r="J323">
        <v>6</v>
      </c>
      <c r="K323">
        <v>13005</v>
      </c>
      <c r="L323">
        <v>9</v>
      </c>
      <c r="M323" t="s">
        <v>31</v>
      </c>
      <c r="N323">
        <v>10</v>
      </c>
      <c r="O323">
        <v>4.2</v>
      </c>
      <c r="P323" t="s">
        <v>32</v>
      </c>
      <c r="Q323" t="s">
        <v>33</v>
      </c>
      <c r="R323" t="s">
        <v>67</v>
      </c>
      <c r="S323">
        <v>3</v>
      </c>
      <c r="T323">
        <v>6</v>
      </c>
      <c r="U323">
        <v>3</v>
      </c>
      <c r="V323" t="s">
        <v>46</v>
      </c>
      <c r="W323" t="s">
        <v>36</v>
      </c>
      <c r="X323" t="s">
        <v>37</v>
      </c>
      <c r="Y323" t="s">
        <v>33</v>
      </c>
      <c r="Z323">
        <v>4.0999999999999996</v>
      </c>
      <c r="AA323">
        <f t="shared" ref="AA323:AA386" si="15">(K323/H323)</f>
        <v>9</v>
      </c>
      <c r="AB323" t="str">
        <f t="shared" ref="AB323:AB386" si="16">IF(U323&gt;0,"Yes","No")</f>
        <v>Yes</v>
      </c>
      <c r="AC323" t="str">
        <f t="shared" ref="AC323:AC386" si="17">IF(U323=0,"Efficient","Needs Improvement")</f>
        <v>Needs Improvement</v>
      </c>
    </row>
    <row r="324" spans="1:29" x14ac:dyDescent="0.3">
      <c r="A324" t="s">
        <v>445</v>
      </c>
      <c r="B324" s="1">
        <v>46117</v>
      </c>
      <c r="C324" s="1">
        <v>46117</v>
      </c>
      <c r="D324" s="1">
        <v>46120</v>
      </c>
      <c r="E324" t="s">
        <v>111</v>
      </c>
      <c r="F324" t="s">
        <v>27</v>
      </c>
      <c r="G324" t="s">
        <v>112</v>
      </c>
      <c r="H324">
        <v>1257</v>
      </c>
      <c r="I324" t="s">
        <v>87</v>
      </c>
      <c r="J324">
        <v>4</v>
      </c>
      <c r="K324">
        <v>10056</v>
      </c>
      <c r="L324">
        <v>8</v>
      </c>
      <c r="M324" t="s">
        <v>205</v>
      </c>
      <c r="N324">
        <v>15</v>
      </c>
      <c r="O324">
        <v>3.6</v>
      </c>
      <c r="P324" t="s">
        <v>66</v>
      </c>
      <c r="Q324" t="s">
        <v>62</v>
      </c>
      <c r="R324" t="s">
        <v>67</v>
      </c>
      <c r="S324">
        <v>2</v>
      </c>
      <c r="T324">
        <v>3</v>
      </c>
      <c r="U324">
        <v>1</v>
      </c>
      <c r="V324" t="s">
        <v>46</v>
      </c>
      <c r="W324" t="s">
        <v>55</v>
      </c>
      <c r="X324" t="s">
        <v>63</v>
      </c>
      <c r="Y324" t="s">
        <v>33</v>
      </c>
      <c r="Z324">
        <v>4</v>
      </c>
      <c r="AA324">
        <f t="shared" si="15"/>
        <v>8</v>
      </c>
      <c r="AB324" t="str">
        <f t="shared" si="16"/>
        <v>Yes</v>
      </c>
      <c r="AC324" t="str">
        <f t="shared" si="17"/>
        <v>Needs Improvement</v>
      </c>
    </row>
    <row r="325" spans="1:29" x14ac:dyDescent="0.3">
      <c r="A325" t="s">
        <v>446</v>
      </c>
      <c r="B325" s="1">
        <v>46041</v>
      </c>
      <c r="C325" s="1">
        <v>46042</v>
      </c>
      <c r="D325" s="1">
        <v>46043</v>
      </c>
      <c r="E325" t="s">
        <v>92</v>
      </c>
      <c r="F325" t="s">
        <v>93</v>
      </c>
      <c r="G325" t="s">
        <v>94</v>
      </c>
      <c r="H325">
        <v>385</v>
      </c>
      <c r="I325" t="s">
        <v>87</v>
      </c>
      <c r="J325">
        <v>3</v>
      </c>
      <c r="K325">
        <v>4620</v>
      </c>
      <c r="L325">
        <v>9</v>
      </c>
      <c r="M325" t="s">
        <v>65</v>
      </c>
      <c r="N325">
        <v>9</v>
      </c>
      <c r="O325">
        <v>3.3</v>
      </c>
      <c r="P325" t="s">
        <v>53</v>
      </c>
      <c r="Q325" t="s">
        <v>62</v>
      </c>
      <c r="R325" t="s">
        <v>34</v>
      </c>
      <c r="S325">
        <v>1</v>
      </c>
      <c r="T325">
        <v>1</v>
      </c>
      <c r="U325">
        <v>0</v>
      </c>
      <c r="V325" t="s">
        <v>35</v>
      </c>
      <c r="W325" t="s">
        <v>68</v>
      </c>
      <c r="X325" t="s">
        <v>76</v>
      </c>
      <c r="Y325" t="s">
        <v>33</v>
      </c>
      <c r="Z325">
        <v>4.8</v>
      </c>
      <c r="AA325">
        <f t="shared" si="15"/>
        <v>12</v>
      </c>
      <c r="AB325" t="str">
        <f t="shared" si="16"/>
        <v>No</v>
      </c>
      <c r="AC325" t="str">
        <f t="shared" si="17"/>
        <v>Efficient</v>
      </c>
    </row>
    <row r="326" spans="1:29" x14ac:dyDescent="0.3">
      <c r="A326" t="s">
        <v>447</v>
      </c>
      <c r="B326" s="1">
        <v>46135</v>
      </c>
      <c r="C326" s="1">
        <v>46136</v>
      </c>
      <c r="D326" s="1">
        <v>46140</v>
      </c>
      <c r="E326" t="s">
        <v>72</v>
      </c>
      <c r="F326" t="s">
        <v>73</v>
      </c>
      <c r="G326" t="s">
        <v>74</v>
      </c>
      <c r="H326">
        <v>712</v>
      </c>
      <c r="I326" t="s">
        <v>30</v>
      </c>
      <c r="J326">
        <v>3</v>
      </c>
      <c r="K326">
        <v>7832</v>
      </c>
      <c r="L326">
        <v>10</v>
      </c>
      <c r="M326" t="s">
        <v>118</v>
      </c>
      <c r="N326">
        <v>2</v>
      </c>
      <c r="O326">
        <v>3.2</v>
      </c>
      <c r="P326" t="s">
        <v>53</v>
      </c>
      <c r="Q326" t="s">
        <v>33</v>
      </c>
      <c r="R326" t="s">
        <v>34</v>
      </c>
      <c r="S326">
        <v>1</v>
      </c>
      <c r="T326">
        <v>4</v>
      </c>
      <c r="U326">
        <v>3</v>
      </c>
      <c r="V326" t="s">
        <v>46</v>
      </c>
      <c r="W326" t="s">
        <v>55</v>
      </c>
      <c r="X326" t="s">
        <v>76</v>
      </c>
      <c r="Y326" t="s">
        <v>33</v>
      </c>
      <c r="Z326">
        <v>4.9000000000000004</v>
      </c>
      <c r="AA326">
        <f t="shared" si="15"/>
        <v>11</v>
      </c>
      <c r="AB326" t="str">
        <f t="shared" si="16"/>
        <v>Yes</v>
      </c>
      <c r="AC326" t="str">
        <f t="shared" si="17"/>
        <v>Needs Improvement</v>
      </c>
    </row>
    <row r="327" spans="1:29" x14ac:dyDescent="0.3">
      <c r="A327" t="s">
        <v>448</v>
      </c>
      <c r="B327" s="1">
        <v>46071</v>
      </c>
      <c r="C327" s="1">
        <v>46073</v>
      </c>
      <c r="D327" s="1">
        <v>46076</v>
      </c>
      <c r="E327" t="s">
        <v>111</v>
      </c>
      <c r="F327" t="s">
        <v>27</v>
      </c>
      <c r="G327" t="s">
        <v>112</v>
      </c>
      <c r="H327">
        <v>289</v>
      </c>
      <c r="I327" t="s">
        <v>60</v>
      </c>
      <c r="J327">
        <v>6</v>
      </c>
      <c r="K327">
        <v>2890</v>
      </c>
      <c r="L327">
        <v>10</v>
      </c>
      <c r="M327" t="s">
        <v>70</v>
      </c>
      <c r="N327">
        <v>3</v>
      </c>
      <c r="O327">
        <v>4.7</v>
      </c>
      <c r="P327" t="s">
        <v>45</v>
      </c>
      <c r="Q327" t="s">
        <v>33</v>
      </c>
      <c r="R327" t="s">
        <v>67</v>
      </c>
      <c r="S327">
        <v>1</v>
      </c>
      <c r="T327">
        <v>3</v>
      </c>
      <c r="U327">
        <v>2</v>
      </c>
      <c r="V327" t="s">
        <v>46</v>
      </c>
      <c r="W327" t="s">
        <v>55</v>
      </c>
      <c r="X327" t="s">
        <v>95</v>
      </c>
      <c r="Y327" t="s">
        <v>62</v>
      </c>
      <c r="Z327">
        <v>4.3</v>
      </c>
      <c r="AA327">
        <f t="shared" si="15"/>
        <v>10</v>
      </c>
      <c r="AB327" t="str">
        <f t="shared" si="16"/>
        <v>Yes</v>
      </c>
      <c r="AC327" t="str">
        <f t="shared" si="17"/>
        <v>Needs Improvement</v>
      </c>
    </row>
    <row r="328" spans="1:29" x14ac:dyDescent="0.3">
      <c r="A328" t="s">
        <v>449</v>
      </c>
      <c r="B328" s="1">
        <v>46038</v>
      </c>
      <c r="C328" s="1">
        <v>46038</v>
      </c>
      <c r="D328" s="1">
        <v>46042</v>
      </c>
      <c r="E328" t="s">
        <v>40</v>
      </c>
      <c r="F328" t="s">
        <v>41</v>
      </c>
      <c r="G328" t="s">
        <v>42</v>
      </c>
      <c r="H328">
        <v>207</v>
      </c>
      <c r="I328" t="s">
        <v>30</v>
      </c>
      <c r="J328">
        <v>1</v>
      </c>
      <c r="K328">
        <v>1863</v>
      </c>
      <c r="L328">
        <v>8</v>
      </c>
      <c r="M328" t="s">
        <v>153</v>
      </c>
      <c r="N328">
        <v>9</v>
      </c>
      <c r="O328">
        <v>4.5999999999999996</v>
      </c>
      <c r="P328" t="s">
        <v>53</v>
      </c>
      <c r="Q328" t="s">
        <v>38</v>
      </c>
      <c r="R328" t="s">
        <v>67</v>
      </c>
      <c r="S328">
        <v>1</v>
      </c>
      <c r="T328">
        <v>4</v>
      </c>
      <c r="U328">
        <v>3</v>
      </c>
      <c r="V328" t="s">
        <v>46</v>
      </c>
      <c r="W328" t="s">
        <v>68</v>
      </c>
      <c r="X328" t="s">
        <v>95</v>
      </c>
      <c r="Y328" t="s">
        <v>62</v>
      </c>
      <c r="Z328">
        <v>3.2</v>
      </c>
      <c r="AA328">
        <f t="shared" si="15"/>
        <v>9</v>
      </c>
      <c r="AB328" t="str">
        <f t="shared" si="16"/>
        <v>Yes</v>
      </c>
      <c r="AC328" t="str">
        <f t="shared" si="17"/>
        <v>Needs Improvement</v>
      </c>
    </row>
    <row r="329" spans="1:29" x14ac:dyDescent="0.3">
      <c r="A329" t="s">
        <v>450</v>
      </c>
      <c r="B329" s="1">
        <v>46099</v>
      </c>
      <c r="C329" s="1">
        <v>46099</v>
      </c>
      <c r="D329" s="1">
        <v>46102</v>
      </c>
      <c r="E329" t="s">
        <v>40</v>
      </c>
      <c r="F329" t="s">
        <v>41</v>
      </c>
      <c r="G329" t="s">
        <v>42</v>
      </c>
      <c r="H329">
        <v>1320</v>
      </c>
      <c r="I329" t="s">
        <v>30</v>
      </c>
      <c r="J329">
        <v>10</v>
      </c>
      <c r="K329">
        <v>14520</v>
      </c>
      <c r="L329">
        <v>9</v>
      </c>
      <c r="M329" t="s">
        <v>90</v>
      </c>
      <c r="N329">
        <v>1</v>
      </c>
      <c r="O329">
        <v>3.4</v>
      </c>
      <c r="P329" t="s">
        <v>32</v>
      </c>
      <c r="Q329" t="s">
        <v>33</v>
      </c>
      <c r="R329" t="s">
        <v>34</v>
      </c>
      <c r="S329">
        <v>2</v>
      </c>
      <c r="T329">
        <v>3</v>
      </c>
      <c r="U329">
        <v>1</v>
      </c>
      <c r="V329" t="s">
        <v>46</v>
      </c>
      <c r="W329" t="s">
        <v>36</v>
      </c>
      <c r="X329" t="s">
        <v>76</v>
      </c>
      <c r="Y329" t="s">
        <v>33</v>
      </c>
      <c r="Z329">
        <v>3.6</v>
      </c>
      <c r="AA329">
        <f t="shared" si="15"/>
        <v>11</v>
      </c>
      <c r="AB329" t="str">
        <f t="shared" si="16"/>
        <v>Yes</v>
      </c>
      <c r="AC329" t="str">
        <f t="shared" si="17"/>
        <v>Needs Improvement</v>
      </c>
    </row>
    <row r="330" spans="1:29" x14ac:dyDescent="0.3">
      <c r="A330" t="s">
        <v>451</v>
      </c>
      <c r="B330" s="1">
        <v>46140</v>
      </c>
      <c r="C330" s="1">
        <v>46140</v>
      </c>
      <c r="D330" s="1">
        <v>46143</v>
      </c>
      <c r="E330" t="s">
        <v>27</v>
      </c>
      <c r="F330" t="s">
        <v>28</v>
      </c>
      <c r="G330" t="s">
        <v>29</v>
      </c>
      <c r="H330">
        <v>423</v>
      </c>
      <c r="I330" t="s">
        <v>43</v>
      </c>
      <c r="J330">
        <v>3</v>
      </c>
      <c r="K330">
        <v>2961</v>
      </c>
      <c r="L330">
        <v>10</v>
      </c>
      <c r="M330" t="s">
        <v>99</v>
      </c>
      <c r="N330">
        <v>10</v>
      </c>
      <c r="O330">
        <v>4.3</v>
      </c>
      <c r="P330" t="s">
        <v>45</v>
      </c>
      <c r="Q330" t="s">
        <v>62</v>
      </c>
      <c r="R330" t="s">
        <v>54</v>
      </c>
      <c r="S330">
        <v>1</v>
      </c>
      <c r="T330">
        <v>3</v>
      </c>
      <c r="U330">
        <v>2</v>
      </c>
      <c r="V330" t="s">
        <v>46</v>
      </c>
      <c r="W330" t="s">
        <v>36</v>
      </c>
      <c r="X330" t="s">
        <v>63</v>
      </c>
      <c r="Y330" t="s">
        <v>62</v>
      </c>
      <c r="Z330">
        <v>3.6</v>
      </c>
      <c r="AA330">
        <f t="shared" si="15"/>
        <v>7</v>
      </c>
      <c r="AB330" t="str">
        <f t="shared" si="16"/>
        <v>Yes</v>
      </c>
      <c r="AC330" t="str">
        <f t="shared" si="17"/>
        <v>Needs Improvement</v>
      </c>
    </row>
    <row r="331" spans="1:29" x14ac:dyDescent="0.3">
      <c r="A331" t="s">
        <v>452</v>
      </c>
      <c r="B331" s="1">
        <v>46137</v>
      </c>
      <c r="C331" s="1">
        <v>46138</v>
      </c>
      <c r="D331" s="1">
        <v>46145</v>
      </c>
      <c r="E331" t="s">
        <v>72</v>
      </c>
      <c r="F331" t="s">
        <v>73</v>
      </c>
      <c r="G331" t="s">
        <v>74</v>
      </c>
      <c r="H331">
        <v>1753</v>
      </c>
      <c r="I331" t="s">
        <v>43</v>
      </c>
      <c r="J331">
        <v>9</v>
      </c>
      <c r="K331">
        <v>10518</v>
      </c>
      <c r="L331">
        <v>7</v>
      </c>
      <c r="M331" t="s">
        <v>116</v>
      </c>
      <c r="N331">
        <v>3</v>
      </c>
      <c r="O331">
        <v>3.2</v>
      </c>
      <c r="P331" t="s">
        <v>66</v>
      </c>
      <c r="Q331" t="s">
        <v>62</v>
      </c>
      <c r="R331" t="s">
        <v>54</v>
      </c>
      <c r="S331">
        <v>3</v>
      </c>
      <c r="T331">
        <v>7</v>
      </c>
      <c r="U331">
        <v>4</v>
      </c>
      <c r="V331" t="s">
        <v>46</v>
      </c>
      <c r="W331" t="s">
        <v>36</v>
      </c>
      <c r="X331" t="s">
        <v>37</v>
      </c>
      <c r="Y331" t="s">
        <v>33</v>
      </c>
      <c r="Z331">
        <v>3.1</v>
      </c>
      <c r="AA331">
        <f t="shared" si="15"/>
        <v>6</v>
      </c>
      <c r="AB331" t="str">
        <f t="shared" si="16"/>
        <v>Yes</v>
      </c>
      <c r="AC331" t="str">
        <f t="shared" si="17"/>
        <v>Needs Improvement</v>
      </c>
    </row>
    <row r="332" spans="1:29" x14ac:dyDescent="0.3">
      <c r="A332" t="s">
        <v>453</v>
      </c>
      <c r="B332" s="1">
        <v>46096</v>
      </c>
      <c r="C332" s="1">
        <v>46098</v>
      </c>
      <c r="D332" s="1">
        <v>46103</v>
      </c>
      <c r="E332" t="s">
        <v>72</v>
      </c>
      <c r="F332" t="s">
        <v>73</v>
      </c>
      <c r="G332" t="s">
        <v>74</v>
      </c>
      <c r="H332">
        <v>1190</v>
      </c>
      <c r="I332" t="s">
        <v>30</v>
      </c>
      <c r="J332">
        <v>7</v>
      </c>
      <c r="K332">
        <v>11900</v>
      </c>
      <c r="L332">
        <v>7</v>
      </c>
      <c r="M332" t="s">
        <v>243</v>
      </c>
      <c r="N332">
        <v>9</v>
      </c>
      <c r="O332">
        <v>4.2</v>
      </c>
      <c r="P332" t="s">
        <v>66</v>
      </c>
      <c r="Q332" t="s">
        <v>38</v>
      </c>
      <c r="R332" t="s">
        <v>54</v>
      </c>
      <c r="S332">
        <v>2</v>
      </c>
      <c r="T332">
        <v>5</v>
      </c>
      <c r="U332">
        <v>3</v>
      </c>
      <c r="V332" t="s">
        <v>46</v>
      </c>
      <c r="W332" t="s">
        <v>55</v>
      </c>
      <c r="X332" t="s">
        <v>95</v>
      </c>
      <c r="Y332" t="s">
        <v>62</v>
      </c>
      <c r="Z332">
        <v>4.5999999999999996</v>
      </c>
      <c r="AA332">
        <f t="shared" si="15"/>
        <v>10</v>
      </c>
      <c r="AB332" t="str">
        <f t="shared" si="16"/>
        <v>Yes</v>
      </c>
      <c r="AC332" t="str">
        <f t="shared" si="17"/>
        <v>Needs Improvement</v>
      </c>
    </row>
    <row r="333" spans="1:29" x14ac:dyDescent="0.3">
      <c r="A333" t="s">
        <v>454</v>
      </c>
      <c r="B333" s="1">
        <v>46136</v>
      </c>
      <c r="C333" s="1">
        <v>46138</v>
      </c>
      <c r="D333" s="1">
        <v>46144</v>
      </c>
      <c r="E333" t="s">
        <v>40</v>
      </c>
      <c r="F333" t="s">
        <v>41</v>
      </c>
      <c r="G333" t="s">
        <v>42</v>
      </c>
      <c r="H333">
        <v>1651</v>
      </c>
      <c r="I333" t="s">
        <v>30</v>
      </c>
      <c r="J333">
        <v>4</v>
      </c>
      <c r="K333">
        <v>9906</v>
      </c>
      <c r="L333">
        <v>5</v>
      </c>
      <c r="M333" t="s">
        <v>135</v>
      </c>
      <c r="N333">
        <v>8</v>
      </c>
      <c r="O333">
        <v>4.3</v>
      </c>
      <c r="P333" t="s">
        <v>32</v>
      </c>
      <c r="Q333" t="s">
        <v>33</v>
      </c>
      <c r="R333" t="s">
        <v>67</v>
      </c>
      <c r="S333">
        <v>3</v>
      </c>
      <c r="T333">
        <v>6</v>
      </c>
      <c r="U333">
        <v>3</v>
      </c>
      <c r="V333" t="s">
        <v>46</v>
      </c>
      <c r="W333" t="s">
        <v>36</v>
      </c>
      <c r="X333" t="s">
        <v>47</v>
      </c>
      <c r="Y333" t="s">
        <v>62</v>
      </c>
      <c r="Z333">
        <v>4.0999999999999996</v>
      </c>
      <c r="AA333">
        <f t="shared" si="15"/>
        <v>6</v>
      </c>
      <c r="AB333" t="str">
        <f t="shared" si="16"/>
        <v>Yes</v>
      </c>
      <c r="AC333" t="str">
        <f t="shared" si="17"/>
        <v>Needs Improvement</v>
      </c>
    </row>
    <row r="334" spans="1:29" x14ac:dyDescent="0.3">
      <c r="A334" t="s">
        <v>455</v>
      </c>
      <c r="B334" s="1">
        <v>46104</v>
      </c>
      <c r="C334" s="1">
        <v>46104</v>
      </c>
      <c r="D334" s="1">
        <v>46109</v>
      </c>
      <c r="E334" t="s">
        <v>27</v>
      </c>
      <c r="F334" t="s">
        <v>28</v>
      </c>
      <c r="G334" t="s">
        <v>29</v>
      </c>
      <c r="H334">
        <v>1511</v>
      </c>
      <c r="I334" t="s">
        <v>60</v>
      </c>
      <c r="J334">
        <v>5</v>
      </c>
      <c r="K334">
        <v>12088</v>
      </c>
      <c r="L334">
        <v>5</v>
      </c>
      <c r="M334" t="s">
        <v>131</v>
      </c>
      <c r="N334">
        <v>5</v>
      </c>
      <c r="O334">
        <v>4</v>
      </c>
      <c r="P334" t="s">
        <v>66</v>
      </c>
      <c r="Q334" t="s">
        <v>38</v>
      </c>
      <c r="R334" t="s">
        <v>67</v>
      </c>
      <c r="S334">
        <v>3</v>
      </c>
      <c r="T334">
        <v>5</v>
      </c>
      <c r="U334">
        <v>2</v>
      </c>
      <c r="V334" t="s">
        <v>46</v>
      </c>
      <c r="W334" t="s">
        <v>68</v>
      </c>
      <c r="X334" t="s">
        <v>95</v>
      </c>
      <c r="Y334" t="s">
        <v>33</v>
      </c>
      <c r="Z334">
        <v>4.0999999999999996</v>
      </c>
      <c r="AA334">
        <f t="shared" si="15"/>
        <v>8</v>
      </c>
      <c r="AB334" t="str">
        <f t="shared" si="16"/>
        <v>Yes</v>
      </c>
      <c r="AC334" t="str">
        <f t="shared" si="17"/>
        <v>Needs Improvement</v>
      </c>
    </row>
    <row r="335" spans="1:29" x14ac:dyDescent="0.3">
      <c r="A335" t="s">
        <v>456</v>
      </c>
      <c r="B335" s="1">
        <v>46026</v>
      </c>
      <c r="C335" s="1">
        <v>46026</v>
      </c>
      <c r="D335" s="1">
        <v>46032</v>
      </c>
      <c r="E335" t="s">
        <v>40</v>
      </c>
      <c r="F335" t="s">
        <v>41</v>
      </c>
      <c r="G335" t="s">
        <v>42</v>
      </c>
      <c r="H335">
        <v>876</v>
      </c>
      <c r="I335" t="s">
        <v>30</v>
      </c>
      <c r="J335">
        <v>8</v>
      </c>
      <c r="K335">
        <v>7884</v>
      </c>
      <c r="L335">
        <v>5</v>
      </c>
      <c r="M335" t="s">
        <v>97</v>
      </c>
      <c r="N335">
        <v>3</v>
      </c>
      <c r="O335">
        <v>4</v>
      </c>
      <c r="P335" t="s">
        <v>53</v>
      </c>
      <c r="Q335" t="s">
        <v>33</v>
      </c>
      <c r="R335" t="s">
        <v>34</v>
      </c>
      <c r="S335">
        <v>1</v>
      </c>
      <c r="T335">
        <v>6</v>
      </c>
      <c r="U335">
        <v>5</v>
      </c>
      <c r="V335" t="s">
        <v>46</v>
      </c>
      <c r="W335" t="s">
        <v>36</v>
      </c>
      <c r="X335" t="s">
        <v>76</v>
      </c>
      <c r="Y335" t="s">
        <v>62</v>
      </c>
      <c r="Z335">
        <v>4.0999999999999996</v>
      </c>
      <c r="AA335">
        <f t="shared" si="15"/>
        <v>9</v>
      </c>
      <c r="AB335" t="str">
        <f t="shared" si="16"/>
        <v>Yes</v>
      </c>
      <c r="AC335" t="str">
        <f t="shared" si="17"/>
        <v>Needs Improvement</v>
      </c>
    </row>
    <row r="336" spans="1:29" x14ac:dyDescent="0.3">
      <c r="A336" t="s">
        <v>457</v>
      </c>
      <c r="B336" s="1">
        <v>46109</v>
      </c>
      <c r="C336" s="1">
        <v>46110</v>
      </c>
      <c r="D336" s="1">
        <v>46115</v>
      </c>
      <c r="E336" t="s">
        <v>27</v>
      </c>
      <c r="F336" t="s">
        <v>28</v>
      </c>
      <c r="G336" t="s">
        <v>29</v>
      </c>
      <c r="H336">
        <v>626</v>
      </c>
      <c r="I336" t="s">
        <v>30</v>
      </c>
      <c r="J336">
        <v>6</v>
      </c>
      <c r="K336">
        <v>3756</v>
      </c>
      <c r="L336">
        <v>6</v>
      </c>
      <c r="M336" t="s">
        <v>44</v>
      </c>
      <c r="N336">
        <v>14</v>
      </c>
      <c r="O336">
        <v>3.1</v>
      </c>
      <c r="P336" t="s">
        <v>53</v>
      </c>
      <c r="Q336" t="s">
        <v>33</v>
      </c>
      <c r="R336" t="s">
        <v>54</v>
      </c>
      <c r="S336">
        <v>1</v>
      </c>
      <c r="T336">
        <v>5</v>
      </c>
      <c r="U336">
        <v>4</v>
      </c>
      <c r="V336" t="s">
        <v>46</v>
      </c>
      <c r="W336" t="s">
        <v>68</v>
      </c>
      <c r="X336" t="s">
        <v>37</v>
      </c>
      <c r="Y336" t="s">
        <v>33</v>
      </c>
      <c r="Z336">
        <v>3.2</v>
      </c>
      <c r="AA336">
        <f t="shared" si="15"/>
        <v>6</v>
      </c>
      <c r="AB336" t="str">
        <f t="shared" si="16"/>
        <v>Yes</v>
      </c>
      <c r="AC336" t="str">
        <f t="shared" si="17"/>
        <v>Needs Improvement</v>
      </c>
    </row>
    <row r="337" spans="1:29" x14ac:dyDescent="0.3">
      <c r="A337" t="s">
        <v>458</v>
      </c>
      <c r="B337" s="1">
        <v>46123</v>
      </c>
      <c r="C337" s="1">
        <v>46124</v>
      </c>
      <c r="D337" s="1">
        <v>46129</v>
      </c>
      <c r="E337" t="s">
        <v>49</v>
      </c>
      <c r="F337" t="s">
        <v>50</v>
      </c>
      <c r="G337" t="s">
        <v>51</v>
      </c>
      <c r="H337">
        <v>1653</v>
      </c>
      <c r="I337" t="s">
        <v>87</v>
      </c>
      <c r="J337">
        <v>5</v>
      </c>
      <c r="K337">
        <v>14877</v>
      </c>
      <c r="L337">
        <v>5</v>
      </c>
      <c r="M337" t="s">
        <v>153</v>
      </c>
      <c r="N337">
        <v>15</v>
      </c>
      <c r="O337">
        <v>3.5</v>
      </c>
      <c r="P337" t="s">
        <v>53</v>
      </c>
      <c r="Q337" t="s">
        <v>62</v>
      </c>
      <c r="R337" t="s">
        <v>67</v>
      </c>
      <c r="S337">
        <v>3</v>
      </c>
      <c r="T337">
        <v>5</v>
      </c>
      <c r="U337">
        <v>2</v>
      </c>
      <c r="V337" t="s">
        <v>46</v>
      </c>
      <c r="W337" t="s">
        <v>36</v>
      </c>
      <c r="X337" t="s">
        <v>63</v>
      </c>
      <c r="Y337" t="s">
        <v>62</v>
      </c>
      <c r="Z337">
        <v>4.5999999999999996</v>
      </c>
      <c r="AA337">
        <f t="shared" si="15"/>
        <v>9</v>
      </c>
      <c r="AB337" t="str">
        <f t="shared" si="16"/>
        <v>Yes</v>
      </c>
      <c r="AC337" t="str">
        <f t="shared" si="17"/>
        <v>Needs Improvement</v>
      </c>
    </row>
    <row r="338" spans="1:29" x14ac:dyDescent="0.3">
      <c r="A338" t="s">
        <v>459</v>
      </c>
      <c r="B338" s="1">
        <v>46122</v>
      </c>
      <c r="C338" s="1">
        <v>46122</v>
      </c>
      <c r="D338" s="1">
        <v>46126</v>
      </c>
      <c r="E338" t="s">
        <v>72</v>
      </c>
      <c r="F338" t="s">
        <v>73</v>
      </c>
      <c r="G338" t="s">
        <v>74</v>
      </c>
      <c r="H338">
        <v>1108</v>
      </c>
      <c r="I338" t="s">
        <v>87</v>
      </c>
      <c r="J338">
        <v>8</v>
      </c>
      <c r="K338">
        <v>11080</v>
      </c>
      <c r="L338">
        <v>6</v>
      </c>
      <c r="M338" t="s">
        <v>160</v>
      </c>
      <c r="N338">
        <v>6</v>
      </c>
      <c r="O338">
        <v>4.8</v>
      </c>
      <c r="P338" t="s">
        <v>66</v>
      </c>
      <c r="Q338" t="s">
        <v>62</v>
      </c>
      <c r="R338" t="s">
        <v>67</v>
      </c>
      <c r="S338">
        <v>2</v>
      </c>
      <c r="T338">
        <v>4</v>
      </c>
      <c r="U338">
        <v>2</v>
      </c>
      <c r="V338" t="s">
        <v>46</v>
      </c>
      <c r="W338" t="s">
        <v>55</v>
      </c>
      <c r="X338" t="s">
        <v>37</v>
      </c>
      <c r="Y338" t="s">
        <v>38</v>
      </c>
      <c r="Z338">
        <v>4.4000000000000004</v>
      </c>
      <c r="AA338">
        <f t="shared" si="15"/>
        <v>10</v>
      </c>
      <c r="AB338" t="str">
        <f t="shared" si="16"/>
        <v>Yes</v>
      </c>
      <c r="AC338" t="str">
        <f t="shared" si="17"/>
        <v>Needs Improvement</v>
      </c>
    </row>
    <row r="339" spans="1:29" x14ac:dyDescent="0.3">
      <c r="A339" t="s">
        <v>460</v>
      </c>
      <c r="B339" s="1">
        <v>46081</v>
      </c>
      <c r="C339" s="1">
        <v>46082</v>
      </c>
      <c r="D339" s="1">
        <v>46085</v>
      </c>
      <c r="E339" t="s">
        <v>72</v>
      </c>
      <c r="F339" t="s">
        <v>73</v>
      </c>
      <c r="G339" t="s">
        <v>74</v>
      </c>
      <c r="H339">
        <v>208</v>
      </c>
      <c r="I339" t="s">
        <v>30</v>
      </c>
      <c r="J339">
        <v>1</v>
      </c>
      <c r="K339">
        <v>2288</v>
      </c>
      <c r="L339">
        <v>9</v>
      </c>
      <c r="M339" t="s">
        <v>109</v>
      </c>
      <c r="N339">
        <v>6</v>
      </c>
      <c r="O339">
        <v>3.9</v>
      </c>
      <c r="P339" t="s">
        <v>32</v>
      </c>
      <c r="Q339" t="s">
        <v>38</v>
      </c>
      <c r="R339" t="s">
        <v>54</v>
      </c>
      <c r="S339">
        <v>1</v>
      </c>
      <c r="T339">
        <v>3</v>
      </c>
      <c r="U339">
        <v>2</v>
      </c>
      <c r="V339" t="s">
        <v>46</v>
      </c>
      <c r="W339" t="s">
        <v>55</v>
      </c>
      <c r="X339" t="s">
        <v>47</v>
      </c>
      <c r="Y339" t="s">
        <v>38</v>
      </c>
      <c r="Z339">
        <v>4.2</v>
      </c>
      <c r="AA339">
        <f t="shared" si="15"/>
        <v>11</v>
      </c>
      <c r="AB339" t="str">
        <f t="shared" si="16"/>
        <v>Yes</v>
      </c>
      <c r="AC339" t="str">
        <f t="shared" si="17"/>
        <v>Needs Improvement</v>
      </c>
    </row>
    <row r="340" spans="1:29" x14ac:dyDescent="0.3">
      <c r="A340" t="s">
        <v>461</v>
      </c>
      <c r="B340" s="1">
        <v>46062</v>
      </c>
      <c r="C340" s="1">
        <v>46064</v>
      </c>
      <c r="D340" s="1">
        <v>46065</v>
      </c>
      <c r="E340" t="s">
        <v>40</v>
      </c>
      <c r="F340" t="s">
        <v>41</v>
      </c>
      <c r="G340" t="s">
        <v>42</v>
      </c>
      <c r="H340">
        <v>857</v>
      </c>
      <c r="I340" t="s">
        <v>60</v>
      </c>
      <c r="J340">
        <v>4</v>
      </c>
      <c r="K340">
        <v>6856</v>
      </c>
      <c r="L340">
        <v>7</v>
      </c>
      <c r="M340" t="s">
        <v>52</v>
      </c>
      <c r="N340">
        <v>6</v>
      </c>
      <c r="O340">
        <v>4.5</v>
      </c>
      <c r="P340" t="s">
        <v>32</v>
      </c>
      <c r="Q340" t="s">
        <v>62</v>
      </c>
      <c r="R340" t="s">
        <v>67</v>
      </c>
      <c r="S340">
        <v>1</v>
      </c>
      <c r="T340">
        <v>1</v>
      </c>
      <c r="U340">
        <v>0</v>
      </c>
      <c r="V340" t="s">
        <v>35</v>
      </c>
      <c r="W340" t="s">
        <v>68</v>
      </c>
      <c r="X340" t="s">
        <v>63</v>
      </c>
      <c r="Y340" t="s">
        <v>38</v>
      </c>
      <c r="Z340">
        <v>4.9000000000000004</v>
      </c>
      <c r="AA340">
        <f t="shared" si="15"/>
        <v>8</v>
      </c>
      <c r="AB340" t="str">
        <f t="shared" si="16"/>
        <v>No</v>
      </c>
      <c r="AC340" t="str">
        <f t="shared" si="17"/>
        <v>Efficient</v>
      </c>
    </row>
    <row r="341" spans="1:29" x14ac:dyDescent="0.3">
      <c r="A341" t="s">
        <v>462</v>
      </c>
      <c r="B341" s="1">
        <v>46094</v>
      </c>
      <c r="C341" s="1">
        <v>46096</v>
      </c>
      <c r="D341" s="1">
        <v>46099</v>
      </c>
      <c r="E341" t="s">
        <v>72</v>
      </c>
      <c r="F341" t="s">
        <v>73</v>
      </c>
      <c r="G341" t="s">
        <v>74</v>
      </c>
      <c r="H341">
        <v>623</v>
      </c>
      <c r="I341" t="s">
        <v>30</v>
      </c>
      <c r="J341">
        <v>9</v>
      </c>
      <c r="K341">
        <v>4984</v>
      </c>
      <c r="L341">
        <v>7</v>
      </c>
      <c r="M341" t="s">
        <v>70</v>
      </c>
      <c r="N341">
        <v>12</v>
      </c>
      <c r="O341">
        <v>4.5999999999999996</v>
      </c>
      <c r="P341" t="s">
        <v>45</v>
      </c>
      <c r="Q341" t="s">
        <v>38</v>
      </c>
      <c r="R341" t="s">
        <v>67</v>
      </c>
      <c r="S341">
        <v>1</v>
      </c>
      <c r="T341">
        <v>3</v>
      </c>
      <c r="U341">
        <v>2</v>
      </c>
      <c r="V341" t="s">
        <v>46</v>
      </c>
      <c r="W341" t="s">
        <v>55</v>
      </c>
      <c r="X341" t="s">
        <v>95</v>
      </c>
      <c r="Y341" t="s">
        <v>38</v>
      </c>
      <c r="Z341">
        <v>3.3</v>
      </c>
      <c r="AA341">
        <f t="shared" si="15"/>
        <v>8</v>
      </c>
      <c r="AB341" t="str">
        <f t="shared" si="16"/>
        <v>Yes</v>
      </c>
      <c r="AC341" t="str">
        <f t="shared" si="17"/>
        <v>Needs Improvement</v>
      </c>
    </row>
    <row r="342" spans="1:29" x14ac:dyDescent="0.3">
      <c r="A342" t="s">
        <v>463</v>
      </c>
      <c r="B342" s="1">
        <v>46083</v>
      </c>
      <c r="C342" s="1">
        <v>46085</v>
      </c>
      <c r="D342" s="1">
        <v>46087</v>
      </c>
      <c r="E342" t="s">
        <v>27</v>
      </c>
      <c r="F342" t="s">
        <v>28</v>
      </c>
      <c r="G342" t="s">
        <v>29</v>
      </c>
      <c r="H342">
        <v>416</v>
      </c>
      <c r="I342" t="s">
        <v>43</v>
      </c>
      <c r="J342">
        <v>1</v>
      </c>
      <c r="K342">
        <v>2496</v>
      </c>
      <c r="L342">
        <v>8</v>
      </c>
      <c r="M342" t="s">
        <v>205</v>
      </c>
      <c r="N342">
        <v>3</v>
      </c>
      <c r="O342">
        <v>4.4000000000000004</v>
      </c>
      <c r="P342" t="s">
        <v>53</v>
      </c>
      <c r="Q342" t="s">
        <v>33</v>
      </c>
      <c r="R342" t="s">
        <v>34</v>
      </c>
      <c r="S342">
        <v>1</v>
      </c>
      <c r="T342">
        <v>2</v>
      </c>
      <c r="U342">
        <v>1</v>
      </c>
      <c r="V342" t="s">
        <v>46</v>
      </c>
      <c r="W342" t="s">
        <v>55</v>
      </c>
      <c r="X342" t="s">
        <v>76</v>
      </c>
      <c r="Y342" t="s">
        <v>38</v>
      </c>
      <c r="Z342">
        <v>4.9000000000000004</v>
      </c>
      <c r="AA342">
        <f t="shared" si="15"/>
        <v>6</v>
      </c>
      <c r="AB342" t="str">
        <f t="shared" si="16"/>
        <v>Yes</v>
      </c>
      <c r="AC342" t="str">
        <f t="shared" si="17"/>
        <v>Needs Improvement</v>
      </c>
    </row>
    <row r="343" spans="1:29" x14ac:dyDescent="0.3">
      <c r="A343" t="s">
        <v>464</v>
      </c>
      <c r="B343" s="1">
        <v>46119</v>
      </c>
      <c r="C343" s="1">
        <v>46120</v>
      </c>
      <c r="D343" s="1">
        <v>46121</v>
      </c>
      <c r="E343" t="s">
        <v>82</v>
      </c>
      <c r="F343" t="s">
        <v>83</v>
      </c>
      <c r="G343" t="s">
        <v>84</v>
      </c>
      <c r="H343">
        <v>390</v>
      </c>
      <c r="I343" t="s">
        <v>43</v>
      </c>
      <c r="J343">
        <v>2</v>
      </c>
      <c r="K343">
        <v>3510</v>
      </c>
      <c r="L343">
        <v>7</v>
      </c>
      <c r="M343" t="s">
        <v>123</v>
      </c>
      <c r="N343">
        <v>11</v>
      </c>
      <c r="O343">
        <v>4.4000000000000004</v>
      </c>
      <c r="P343" t="s">
        <v>53</v>
      </c>
      <c r="Q343" t="s">
        <v>62</v>
      </c>
      <c r="R343" t="s">
        <v>67</v>
      </c>
      <c r="S343">
        <v>1</v>
      </c>
      <c r="T343">
        <v>1</v>
      </c>
      <c r="U343">
        <v>0</v>
      </c>
      <c r="V343" t="s">
        <v>35</v>
      </c>
      <c r="W343" t="s">
        <v>55</v>
      </c>
      <c r="X343" t="s">
        <v>47</v>
      </c>
      <c r="Y343" t="s">
        <v>62</v>
      </c>
      <c r="Z343">
        <v>3.8</v>
      </c>
      <c r="AA343">
        <f t="shared" si="15"/>
        <v>9</v>
      </c>
      <c r="AB343" t="str">
        <f t="shared" si="16"/>
        <v>No</v>
      </c>
      <c r="AC343" t="str">
        <f t="shared" si="17"/>
        <v>Efficient</v>
      </c>
    </row>
    <row r="344" spans="1:29" x14ac:dyDescent="0.3">
      <c r="A344" t="s">
        <v>465</v>
      </c>
      <c r="B344" s="1">
        <v>46112</v>
      </c>
      <c r="C344" s="1">
        <v>46114</v>
      </c>
      <c r="D344" s="1">
        <v>46116</v>
      </c>
      <c r="E344" t="s">
        <v>49</v>
      </c>
      <c r="F344" t="s">
        <v>50</v>
      </c>
      <c r="G344" t="s">
        <v>51</v>
      </c>
      <c r="H344">
        <v>865</v>
      </c>
      <c r="I344" t="s">
        <v>43</v>
      </c>
      <c r="J344">
        <v>8</v>
      </c>
      <c r="K344">
        <v>5190</v>
      </c>
      <c r="L344">
        <v>5</v>
      </c>
      <c r="M344" t="s">
        <v>116</v>
      </c>
      <c r="N344">
        <v>2</v>
      </c>
      <c r="O344">
        <v>3.7</v>
      </c>
      <c r="P344" t="s">
        <v>53</v>
      </c>
      <c r="Q344" t="s">
        <v>38</v>
      </c>
      <c r="R344" t="s">
        <v>34</v>
      </c>
      <c r="S344">
        <v>1</v>
      </c>
      <c r="T344">
        <v>2</v>
      </c>
      <c r="U344">
        <v>1</v>
      </c>
      <c r="V344" t="s">
        <v>46</v>
      </c>
      <c r="W344" t="s">
        <v>55</v>
      </c>
      <c r="X344" t="s">
        <v>63</v>
      </c>
      <c r="Y344" t="s">
        <v>62</v>
      </c>
      <c r="Z344">
        <v>4.5999999999999996</v>
      </c>
      <c r="AA344">
        <f t="shared" si="15"/>
        <v>6</v>
      </c>
      <c r="AB344" t="str">
        <f t="shared" si="16"/>
        <v>Yes</v>
      </c>
      <c r="AC344" t="str">
        <f t="shared" si="17"/>
        <v>Needs Improvement</v>
      </c>
    </row>
    <row r="345" spans="1:29" x14ac:dyDescent="0.3">
      <c r="A345" t="s">
        <v>466</v>
      </c>
      <c r="B345" s="1">
        <v>46124</v>
      </c>
      <c r="C345" s="1">
        <v>46124</v>
      </c>
      <c r="D345" s="1">
        <v>46126</v>
      </c>
      <c r="E345" t="s">
        <v>49</v>
      </c>
      <c r="F345" t="s">
        <v>50</v>
      </c>
      <c r="G345" t="s">
        <v>51</v>
      </c>
      <c r="H345">
        <v>1338</v>
      </c>
      <c r="I345" t="s">
        <v>87</v>
      </c>
      <c r="J345">
        <v>5</v>
      </c>
      <c r="K345">
        <v>13380</v>
      </c>
      <c r="L345">
        <v>8</v>
      </c>
      <c r="M345" t="s">
        <v>205</v>
      </c>
      <c r="N345">
        <v>10</v>
      </c>
      <c r="O345">
        <v>3.8</v>
      </c>
      <c r="P345" t="s">
        <v>45</v>
      </c>
      <c r="Q345" t="s">
        <v>33</v>
      </c>
      <c r="R345" t="s">
        <v>67</v>
      </c>
      <c r="S345">
        <v>2</v>
      </c>
      <c r="T345">
        <v>2</v>
      </c>
      <c r="U345">
        <v>0</v>
      </c>
      <c r="V345" t="s">
        <v>35</v>
      </c>
      <c r="W345" t="s">
        <v>68</v>
      </c>
      <c r="X345" t="s">
        <v>37</v>
      </c>
      <c r="Y345" t="s">
        <v>33</v>
      </c>
      <c r="Z345">
        <v>4.2</v>
      </c>
      <c r="AA345">
        <f t="shared" si="15"/>
        <v>10</v>
      </c>
      <c r="AB345" t="str">
        <f t="shared" si="16"/>
        <v>No</v>
      </c>
      <c r="AC345" t="str">
        <f t="shared" si="17"/>
        <v>Efficient</v>
      </c>
    </row>
    <row r="346" spans="1:29" x14ac:dyDescent="0.3">
      <c r="A346" t="s">
        <v>467</v>
      </c>
      <c r="B346" s="1">
        <v>46123</v>
      </c>
      <c r="C346" s="1">
        <v>46124</v>
      </c>
      <c r="D346" s="1">
        <v>46129</v>
      </c>
      <c r="E346" t="s">
        <v>49</v>
      </c>
      <c r="F346" t="s">
        <v>50</v>
      </c>
      <c r="G346" t="s">
        <v>51</v>
      </c>
      <c r="H346">
        <v>1315</v>
      </c>
      <c r="I346" t="s">
        <v>60</v>
      </c>
      <c r="J346">
        <v>3</v>
      </c>
      <c r="K346">
        <v>14465</v>
      </c>
      <c r="L346">
        <v>10</v>
      </c>
      <c r="M346" t="s">
        <v>165</v>
      </c>
      <c r="N346">
        <v>12</v>
      </c>
      <c r="O346">
        <v>4.9000000000000004</v>
      </c>
      <c r="P346" t="s">
        <v>53</v>
      </c>
      <c r="Q346" t="s">
        <v>38</v>
      </c>
      <c r="R346" t="s">
        <v>54</v>
      </c>
      <c r="S346">
        <v>2</v>
      </c>
      <c r="T346">
        <v>5</v>
      </c>
      <c r="U346">
        <v>3</v>
      </c>
      <c r="V346" t="s">
        <v>46</v>
      </c>
      <c r="W346" t="s">
        <v>68</v>
      </c>
      <c r="X346" t="s">
        <v>76</v>
      </c>
      <c r="Y346" t="s">
        <v>38</v>
      </c>
      <c r="Z346">
        <v>4.5999999999999996</v>
      </c>
      <c r="AA346">
        <f t="shared" si="15"/>
        <v>11</v>
      </c>
      <c r="AB346" t="str">
        <f t="shared" si="16"/>
        <v>Yes</v>
      </c>
      <c r="AC346" t="str">
        <f t="shared" si="17"/>
        <v>Needs Improvement</v>
      </c>
    </row>
    <row r="347" spans="1:29" x14ac:dyDescent="0.3">
      <c r="A347" t="s">
        <v>468</v>
      </c>
      <c r="B347" s="1">
        <v>46045</v>
      </c>
      <c r="C347" s="1">
        <v>46046</v>
      </c>
      <c r="D347" s="1">
        <v>46047</v>
      </c>
      <c r="E347" t="s">
        <v>111</v>
      </c>
      <c r="F347" t="s">
        <v>27</v>
      </c>
      <c r="G347" t="s">
        <v>112</v>
      </c>
      <c r="H347">
        <v>342</v>
      </c>
      <c r="I347" t="s">
        <v>87</v>
      </c>
      <c r="J347">
        <v>10</v>
      </c>
      <c r="K347">
        <v>4104</v>
      </c>
      <c r="L347">
        <v>8</v>
      </c>
      <c r="M347" t="s">
        <v>226</v>
      </c>
      <c r="N347">
        <v>8</v>
      </c>
      <c r="O347">
        <v>4.3</v>
      </c>
      <c r="P347" t="s">
        <v>32</v>
      </c>
      <c r="Q347" t="s">
        <v>38</v>
      </c>
      <c r="R347" t="s">
        <v>67</v>
      </c>
      <c r="S347">
        <v>1</v>
      </c>
      <c r="T347">
        <v>1</v>
      </c>
      <c r="U347">
        <v>0</v>
      </c>
      <c r="V347" t="s">
        <v>35</v>
      </c>
      <c r="W347" t="s">
        <v>55</v>
      </c>
      <c r="X347" t="s">
        <v>63</v>
      </c>
      <c r="Y347" t="s">
        <v>38</v>
      </c>
      <c r="Z347">
        <v>4.3</v>
      </c>
      <c r="AA347">
        <f t="shared" si="15"/>
        <v>12</v>
      </c>
      <c r="AB347" t="str">
        <f t="shared" si="16"/>
        <v>No</v>
      </c>
      <c r="AC347" t="str">
        <f t="shared" si="17"/>
        <v>Efficient</v>
      </c>
    </row>
    <row r="348" spans="1:29" x14ac:dyDescent="0.3">
      <c r="A348" t="s">
        <v>469</v>
      </c>
      <c r="B348" s="1">
        <v>46080</v>
      </c>
      <c r="C348" s="1">
        <v>46082</v>
      </c>
      <c r="D348" s="1">
        <v>46084</v>
      </c>
      <c r="E348" t="s">
        <v>57</v>
      </c>
      <c r="F348" t="s">
        <v>58</v>
      </c>
      <c r="G348" t="s">
        <v>59</v>
      </c>
      <c r="H348">
        <v>998</v>
      </c>
      <c r="I348" t="s">
        <v>43</v>
      </c>
      <c r="J348">
        <v>4</v>
      </c>
      <c r="K348">
        <v>6986</v>
      </c>
      <c r="L348">
        <v>10</v>
      </c>
      <c r="M348" t="s">
        <v>226</v>
      </c>
      <c r="N348">
        <v>5</v>
      </c>
      <c r="O348">
        <v>4.0999999999999996</v>
      </c>
      <c r="P348" t="s">
        <v>66</v>
      </c>
      <c r="Q348" t="s">
        <v>62</v>
      </c>
      <c r="R348" t="s">
        <v>54</v>
      </c>
      <c r="S348">
        <v>2</v>
      </c>
      <c r="T348">
        <v>2</v>
      </c>
      <c r="U348">
        <v>0</v>
      </c>
      <c r="V348" t="s">
        <v>35</v>
      </c>
      <c r="W348" t="s">
        <v>55</v>
      </c>
      <c r="X348" t="s">
        <v>63</v>
      </c>
      <c r="Y348" t="s">
        <v>33</v>
      </c>
      <c r="Z348">
        <v>5</v>
      </c>
      <c r="AA348">
        <f t="shared" si="15"/>
        <v>7</v>
      </c>
      <c r="AB348" t="str">
        <f t="shared" si="16"/>
        <v>No</v>
      </c>
      <c r="AC348" t="str">
        <f t="shared" si="17"/>
        <v>Efficient</v>
      </c>
    </row>
    <row r="349" spans="1:29" x14ac:dyDescent="0.3">
      <c r="A349" t="s">
        <v>470</v>
      </c>
      <c r="B349" s="1">
        <v>46074</v>
      </c>
      <c r="C349" s="1">
        <v>46074</v>
      </c>
      <c r="D349" s="1">
        <v>46075</v>
      </c>
      <c r="E349" t="s">
        <v>57</v>
      </c>
      <c r="F349" t="s">
        <v>58</v>
      </c>
      <c r="G349" t="s">
        <v>59</v>
      </c>
      <c r="H349">
        <v>327</v>
      </c>
      <c r="I349" t="s">
        <v>30</v>
      </c>
      <c r="J349">
        <v>9</v>
      </c>
      <c r="K349">
        <v>1962</v>
      </c>
      <c r="L349">
        <v>5</v>
      </c>
      <c r="M349" t="s">
        <v>245</v>
      </c>
      <c r="N349">
        <v>9</v>
      </c>
      <c r="O349">
        <v>4.5999999999999996</v>
      </c>
      <c r="P349" t="s">
        <v>66</v>
      </c>
      <c r="Q349" t="s">
        <v>38</v>
      </c>
      <c r="R349" t="s">
        <v>34</v>
      </c>
      <c r="S349">
        <v>1</v>
      </c>
      <c r="T349">
        <v>1</v>
      </c>
      <c r="U349">
        <v>0</v>
      </c>
      <c r="V349" t="s">
        <v>35</v>
      </c>
      <c r="W349" t="s">
        <v>68</v>
      </c>
      <c r="X349" t="s">
        <v>76</v>
      </c>
      <c r="Y349" t="s">
        <v>62</v>
      </c>
      <c r="Z349">
        <v>4.3</v>
      </c>
      <c r="AA349">
        <f t="shared" si="15"/>
        <v>6</v>
      </c>
      <c r="AB349" t="str">
        <f t="shared" si="16"/>
        <v>No</v>
      </c>
      <c r="AC349" t="str">
        <f t="shared" si="17"/>
        <v>Efficient</v>
      </c>
    </row>
    <row r="350" spans="1:29" x14ac:dyDescent="0.3">
      <c r="A350" t="s">
        <v>471</v>
      </c>
      <c r="B350" s="1">
        <v>46114</v>
      </c>
      <c r="C350" s="1">
        <v>46115</v>
      </c>
      <c r="D350" s="1">
        <v>46118</v>
      </c>
      <c r="E350" t="s">
        <v>111</v>
      </c>
      <c r="F350" t="s">
        <v>27</v>
      </c>
      <c r="G350" t="s">
        <v>112</v>
      </c>
      <c r="H350">
        <v>981</v>
      </c>
      <c r="I350" t="s">
        <v>43</v>
      </c>
      <c r="J350">
        <v>9</v>
      </c>
      <c r="K350">
        <v>6867</v>
      </c>
      <c r="L350">
        <v>10</v>
      </c>
      <c r="M350" t="s">
        <v>283</v>
      </c>
      <c r="N350">
        <v>8</v>
      </c>
      <c r="O350">
        <v>3.3</v>
      </c>
      <c r="P350" t="s">
        <v>53</v>
      </c>
      <c r="Q350" t="s">
        <v>62</v>
      </c>
      <c r="R350" t="s">
        <v>34</v>
      </c>
      <c r="S350">
        <v>2</v>
      </c>
      <c r="T350">
        <v>3</v>
      </c>
      <c r="U350">
        <v>1</v>
      </c>
      <c r="V350" t="s">
        <v>46</v>
      </c>
      <c r="W350" t="s">
        <v>55</v>
      </c>
      <c r="X350" t="s">
        <v>37</v>
      </c>
      <c r="Y350" t="s">
        <v>38</v>
      </c>
      <c r="Z350">
        <v>3</v>
      </c>
      <c r="AA350">
        <f t="shared" si="15"/>
        <v>7</v>
      </c>
      <c r="AB350" t="str">
        <f t="shared" si="16"/>
        <v>Yes</v>
      </c>
      <c r="AC350" t="str">
        <f t="shared" si="17"/>
        <v>Needs Improvement</v>
      </c>
    </row>
    <row r="351" spans="1:29" x14ac:dyDescent="0.3">
      <c r="A351" t="s">
        <v>472</v>
      </c>
      <c r="B351" s="1">
        <v>46105</v>
      </c>
      <c r="C351" s="1">
        <v>46105</v>
      </c>
      <c r="D351" s="1">
        <v>46109</v>
      </c>
      <c r="E351" t="s">
        <v>82</v>
      </c>
      <c r="F351" t="s">
        <v>83</v>
      </c>
      <c r="G351" t="s">
        <v>84</v>
      </c>
      <c r="H351">
        <v>1677</v>
      </c>
      <c r="I351" t="s">
        <v>43</v>
      </c>
      <c r="J351">
        <v>7</v>
      </c>
      <c r="K351">
        <v>11739</v>
      </c>
      <c r="L351">
        <v>5</v>
      </c>
      <c r="M351" t="s">
        <v>147</v>
      </c>
      <c r="N351">
        <v>11</v>
      </c>
      <c r="O351">
        <v>4.5999999999999996</v>
      </c>
      <c r="P351" t="s">
        <v>53</v>
      </c>
      <c r="Q351" t="s">
        <v>33</v>
      </c>
      <c r="R351" t="s">
        <v>54</v>
      </c>
      <c r="S351">
        <v>3</v>
      </c>
      <c r="T351">
        <v>4</v>
      </c>
      <c r="U351">
        <v>1</v>
      </c>
      <c r="V351" t="s">
        <v>46</v>
      </c>
      <c r="W351" t="s">
        <v>68</v>
      </c>
      <c r="X351" t="s">
        <v>76</v>
      </c>
      <c r="Y351" t="s">
        <v>62</v>
      </c>
      <c r="Z351">
        <v>4.0999999999999996</v>
      </c>
      <c r="AA351">
        <f t="shared" si="15"/>
        <v>7</v>
      </c>
      <c r="AB351" t="str">
        <f t="shared" si="16"/>
        <v>Yes</v>
      </c>
      <c r="AC351" t="str">
        <f t="shared" si="17"/>
        <v>Needs Improvement</v>
      </c>
    </row>
    <row r="352" spans="1:29" x14ac:dyDescent="0.3">
      <c r="A352" t="s">
        <v>473</v>
      </c>
      <c r="B352" s="1">
        <v>46080</v>
      </c>
      <c r="C352" s="1">
        <v>46081</v>
      </c>
      <c r="D352" s="1">
        <v>46086</v>
      </c>
      <c r="E352" t="s">
        <v>49</v>
      </c>
      <c r="F352" t="s">
        <v>50</v>
      </c>
      <c r="G352" t="s">
        <v>51</v>
      </c>
      <c r="H352">
        <v>662</v>
      </c>
      <c r="I352" t="s">
        <v>60</v>
      </c>
      <c r="J352">
        <v>7</v>
      </c>
      <c r="K352">
        <v>6620</v>
      </c>
      <c r="L352">
        <v>5</v>
      </c>
      <c r="M352" t="s">
        <v>105</v>
      </c>
      <c r="N352">
        <v>8</v>
      </c>
      <c r="O352">
        <v>4.7</v>
      </c>
      <c r="P352" t="s">
        <v>45</v>
      </c>
      <c r="Q352" t="s">
        <v>33</v>
      </c>
      <c r="R352" t="s">
        <v>54</v>
      </c>
      <c r="S352">
        <v>1</v>
      </c>
      <c r="T352">
        <v>5</v>
      </c>
      <c r="U352">
        <v>4</v>
      </c>
      <c r="V352" t="s">
        <v>46</v>
      </c>
      <c r="W352" t="s">
        <v>55</v>
      </c>
      <c r="X352" t="s">
        <v>47</v>
      </c>
      <c r="Y352" t="s">
        <v>38</v>
      </c>
      <c r="Z352">
        <v>5</v>
      </c>
      <c r="AA352">
        <f t="shared" si="15"/>
        <v>10</v>
      </c>
      <c r="AB352" t="str">
        <f t="shared" si="16"/>
        <v>Yes</v>
      </c>
      <c r="AC352" t="str">
        <f t="shared" si="17"/>
        <v>Needs Improvement</v>
      </c>
    </row>
    <row r="353" spans="1:29" x14ac:dyDescent="0.3">
      <c r="A353" t="s">
        <v>474</v>
      </c>
      <c r="B353" s="1">
        <v>46095</v>
      </c>
      <c r="C353" s="1">
        <v>46096</v>
      </c>
      <c r="D353" s="1">
        <v>46099</v>
      </c>
      <c r="E353" t="s">
        <v>49</v>
      </c>
      <c r="F353" t="s">
        <v>50</v>
      </c>
      <c r="G353" t="s">
        <v>51</v>
      </c>
      <c r="H353">
        <v>431</v>
      </c>
      <c r="I353" t="s">
        <v>43</v>
      </c>
      <c r="J353">
        <v>2</v>
      </c>
      <c r="K353">
        <v>3017</v>
      </c>
      <c r="L353">
        <v>10</v>
      </c>
      <c r="M353" t="s">
        <v>78</v>
      </c>
      <c r="N353">
        <v>9</v>
      </c>
      <c r="O353">
        <v>5</v>
      </c>
      <c r="P353" t="s">
        <v>66</v>
      </c>
      <c r="Q353" t="s">
        <v>62</v>
      </c>
      <c r="R353" t="s">
        <v>54</v>
      </c>
      <c r="S353">
        <v>1</v>
      </c>
      <c r="T353">
        <v>3</v>
      </c>
      <c r="U353">
        <v>2</v>
      </c>
      <c r="V353" t="s">
        <v>46</v>
      </c>
      <c r="W353" t="s">
        <v>55</v>
      </c>
      <c r="X353" t="s">
        <v>63</v>
      </c>
      <c r="Y353" t="s">
        <v>38</v>
      </c>
      <c r="Z353">
        <v>3.9</v>
      </c>
      <c r="AA353">
        <f t="shared" si="15"/>
        <v>7</v>
      </c>
      <c r="AB353" t="str">
        <f t="shared" si="16"/>
        <v>Yes</v>
      </c>
      <c r="AC353" t="str">
        <f t="shared" si="17"/>
        <v>Needs Improvement</v>
      </c>
    </row>
    <row r="354" spans="1:29" x14ac:dyDescent="0.3">
      <c r="A354" t="s">
        <v>475</v>
      </c>
      <c r="B354" s="1">
        <v>46117</v>
      </c>
      <c r="C354" s="1">
        <v>46119</v>
      </c>
      <c r="D354" s="1">
        <v>46124</v>
      </c>
      <c r="E354" t="s">
        <v>72</v>
      </c>
      <c r="F354" t="s">
        <v>73</v>
      </c>
      <c r="G354" t="s">
        <v>74</v>
      </c>
      <c r="H354">
        <v>1600</v>
      </c>
      <c r="I354" t="s">
        <v>30</v>
      </c>
      <c r="J354">
        <v>10</v>
      </c>
      <c r="K354">
        <v>9600</v>
      </c>
      <c r="L354">
        <v>7</v>
      </c>
      <c r="M354" t="s">
        <v>52</v>
      </c>
      <c r="N354">
        <v>13</v>
      </c>
      <c r="O354">
        <v>3</v>
      </c>
      <c r="P354" t="s">
        <v>53</v>
      </c>
      <c r="Q354" t="s">
        <v>33</v>
      </c>
      <c r="R354" t="s">
        <v>34</v>
      </c>
      <c r="S354">
        <v>3</v>
      </c>
      <c r="T354">
        <v>5</v>
      </c>
      <c r="U354">
        <v>2</v>
      </c>
      <c r="V354" t="s">
        <v>46</v>
      </c>
      <c r="W354" t="s">
        <v>68</v>
      </c>
      <c r="X354" t="s">
        <v>47</v>
      </c>
      <c r="Y354" t="s">
        <v>38</v>
      </c>
      <c r="Z354">
        <v>3.1</v>
      </c>
      <c r="AA354">
        <f t="shared" si="15"/>
        <v>6</v>
      </c>
      <c r="AB354" t="str">
        <f t="shared" si="16"/>
        <v>Yes</v>
      </c>
      <c r="AC354" t="str">
        <f t="shared" si="17"/>
        <v>Needs Improvement</v>
      </c>
    </row>
    <row r="355" spans="1:29" x14ac:dyDescent="0.3">
      <c r="A355" t="s">
        <v>476</v>
      </c>
      <c r="B355" s="1">
        <v>46141</v>
      </c>
      <c r="C355" s="1">
        <v>46143</v>
      </c>
      <c r="D355" s="1">
        <v>46149</v>
      </c>
      <c r="E355" t="s">
        <v>57</v>
      </c>
      <c r="F355" t="s">
        <v>58</v>
      </c>
      <c r="G355" t="s">
        <v>59</v>
      </c>
      <c r="H355">
        <v>1688</v>
      </c>
      <c r="I355" t="s">
        <v>30</v>
      </c>
      <c r="J355">
        <v>1</v>
      </c>
      <c r="K355">
        <v>18568</v>
      </c>
      <c r="L355">
        <v>8</v>
      </c>
      <c r="M355" t="s">
        <v>145</v>
      </c>
      <c r="N355">
        <v>3</v>
      </c>
      <c r="O355">
        <v>4.0999999999999996</v>
      </c>
      <c r="P355" t="s">
        <v>66</v>
      </c>
      <c r="Q355" t="s">
        <v>33</v>
      </c>
      <c r="R355" t="s">
        <v>54</v>
      </c>
      <c r="S355">
        <v>3</v>
      </c>
      <c r="T355">
        <v>6</v>
      </c>
      <c r="U355">
        <v>3</v>
      </c>
      <c r="V355" t="s">
        <v>46</v>
      </c>
      <c r="W355" t="s">
        <v>36</v>
      </c>
      <c r="X355" t="s">
        <v>37</v>
      </c>
      <c r="Y355" t="s">
        <v>33</v>
      </c>
      <c r="Z355">
        <v>3.2</v>
      </c>
      <c r="AA355">
        <f t="shared" si="15"/>
        <v>11</v>
      </c>
      <c r="AB355" t="str">
        <f t="shared" si="16"/>
        <v>Yes</v>
      </c>
      <c r="AC355" t="str">
        <f t="shared" si="17"/>
        <v>Needs Improvement</v>
      </c>
    </row>
    <row r="356" spans="1:29" x14ac:dyDescent="0.3">
      <c r="A356" t="s">
        <v>477</v>
      </c>
      <c r="B356" s="1">
        <v>46123</v>
      </c>
      <c r="C356" s="1">
        <v>46124</v>
      </c>
      <c r="D356" s="1">
        <v>46128</v>
      </c>
      <c r="E356" t="s">
        <v>57</v>
      </c>
      <c r="F356" t="s">
        <v>58</v>
      </c>
      <c r="G356" t="s">
        <v>59</v>
      </c>
      <c r="H356">
        <v>471</v>
      </c>
      <c r="I356" t="s">
        <v>30</v>
      </c>
      <c r="J356">
        <v>5</v>
      </c>
      <c r="K356">
        <v>5652</v>
      </c>
      <c r="L356">
        <v>7</v>
      </c>
      <c r="M356" t="s">
        <v>158</v>
      </c>
      <c r="N356">
        <v>12</v>
      </c>
      <c r="O356">
        <v>3.2</v>
      </c>
      <c r="P356" t="s">
        <v>45</v>
      </c>
      <c r="Q356" t="s">
        <v>33</v>
      </c>
      <c r="R356" t="s">
        <v>54</v>
      </c>
      <c r="S356">
        <v>1</v>
      </c>
      <c r="T356">
        <v>4</v>
      </c>
      <c r="U356">
        <v>3</v>
      </c>
      <c r="V356" t="s">
        <v>46</v>
      </c>
      <c r="W356" t="s">
        <v>68</v>
      </c>
      <c r="X356" t="s">
        <v>37</v>
      </c>
      <c r="Y356" t="s">
        <v>62</v>
      </c>
      <c r="Z356">
        <v>4.5999999999999996</v>
      </c>
      <c r="AA356">
        <f t="shared" si="15"/>
        <v>12</v>
      </c>
      <c r="AB356" t="str">
        <f t="shared" si="16"/>
        <v>Yes</v>
      </c>
      <c r="AC356" t="str">
        <f t="shared" si="17"/>
        <v>Needs Improvement</v>
      </c>
    </row>
    <row r="357" spans="1:29" x14ac:dyDescent="0.3">
      <c r="A357" t="s">
        <v>478</v>
      </c>
      <c r="B357" s="1">
        <v>46053</v>
      </c>
      <c r="C357" s="1">
        <v>46054</v>
      </c>
      <c r="D357" s="1">
        <v>46057</v>
      </c>
      <c r="E357" t="s">
        <v>82</v>
      </c>
      <c r="F357" t="s">
        <v>83</v>
      </c>
      <c r="G357" t="s">
        <v>84</v>
      </c>
      <c r="H357">
        <v>1280</v>
      </c>
      <c r="I357" t="s">
        <v>87</v>
      </c>
      <c r="J357">
        <v>6</v>
      </c>
      <c r="K357">
        <v>7680</v>
      </c>
      <c r="L357">
        <v>6</v>
      </c>
      <c r="M357" t="s">
        <v>269</v>
      </c>
      <c r="N357">
        <v>15</v>
      </c>
      <c r="O357">
        <v>4.5999999999999996</v>
      </c>
      <c r="P357" t="s">
        <v>53</v>
      </c>
      <c r="Q357" t="s">
        <v>62</v>
      </c>
      <c r="R357" t="s">
        <v>34</v>
      </c>
      <c r="S357">
        <v>2</v>
      </c>
      <c r="T357">
        <v>3</v>
      </c>
      <c r="U357">
        <v>1</v>
      </c>
      <c r="V357" t="s">
        <v>46</v>
      </c>
      <c r="W357" t="s">
        <v>55</v>
      </c>
      <c r="X357" t="s">
        <v>37</v>
      </c>
      <c r="Y357" t="s">
        <v>38</v>
      </c>
      <c r="Z357">
        <v>4.2</v>
      </c>
      <c r="AA357">
        <f t="shared" si="15"/>
        <v>6</v>
      </c>
      <c r="AB357" t="str">
        <f t="shared" si="16"/>
        <v>Yes</v>
      </c>
      <c r="AC357" t="str">
        <f t="shared" si="17"/>
        <v>Needs Improvement</v>
      </c>
    </row>
    <row r="358" spans="1:29" x14ac:dyDescent="0.3">
      <c r="A358" t="s">
        <v>479</v>
      </c>
      <c r="B358" s="1">
        <v>46130</v>
      </c>
      <c r="C358" s="1">
        <v>46131</v>
      </c>
      <c r="D358" s="1">
        <v>46137</v>
      </c>
      <c r="E358" t="s">
        <v>27</v>
      </c>
      <c r="F358" t="s">
        <v>28</v>
      </c>
      <c r="G358" t="s">
        <v>29</v>
      </c>
      <c r="H358">
        <v>1515</v>
      </c>
      <c r="I358" t="s">
        <v>30</v>
      </c>
      <c r="J358">
        <v>2</v>
      </c>
      <c r="K358">
        <v>9090</v>
      </c>
      <c r="L358">
        <v>6</v>
      </c>
      <c r="M358" t="s">
        <v>61</v>
      </c>
      <c r="N358">
        <v>7</v>
      </c>
      <c r="O358">
        <v>4</v>
      </c>
      <c r="P358" t="s">
        <v>53</v>
      </c>
      <c r="Q358" t="s">
        <v>33</v>
      </c>
      <c r="R358" t="s">
        <v>54</v>
      </c>
      <c r="S358">
        <v>3</v>
      </c>
      <c r="T358">
        <v>6</v>
      </c>
      <c r="U358">
        <v>3</v>
      </c>
      <c r="V358" t="s">
        <v>46</v>
      </c>
      <c r="W358" t="s">
        <v>68</v>
      </c>
      <c r="X358" t="s">
        <v>47</v>
      </c>
      <c r="Y358" t="s">
        <v>38</v>
      </c>
      <c r="Z358">
        <v>4.0999999999999996</v>
      </c>
      <c r="AA358">
        <f t="shared" si="15"/>
        <v>6</v>
      </c>
      <c r="AB358" t="str">
        <f t="shared" si="16"/>
        <v>Yes</v>
      </c>
      <c r="AC358" t="str">
        <f t="shared" si="17"/>
        <v>Needs Improvement</v>
      </c>
    </row>
    <row r="359" spans="1:29" x14ac:dyDescent="0.3">
      <c r="A359" t="s">
        <v>480</v>
      </c>
      <c r="B359" s="1">
        <v>46078</v>
      </c>
      <c r="C359" s="1">
        <v>46078</v>
      </c>
      <c r="D359" s="1">
        <v>46082</v>
      </c>
      <c r="E359" t="s">
        <v>57</v>
      </c>
      <c r="F359" t="s">
        <v>58</v>
      </c>
      <c r="G359" t="s">
        <v>59</v>
      </c>
      <c r="H359">
        <v>1119</v>
      </c>
      <c r="I359" t="s">
        <v>43</v>
      </c>
      <c r="J359">
        <v>6</v>
      </c>
      <c r="K359">
        <v>11190</v>
      </c>
      <c r="L359">
        <v>10</v>
      </c>
      <c r="M359" t="s">
        <v>172</v>
      </c>
      <c r="N359">
        <v>2</v>
      </c>
      <c r="O359">
        <v>4.8</v>
      </c>
      <c r="P359" t="s">
        <v>66</v>
      </c>
      <c r="Q359" t="s">
        <v>62</v>
      </c>
      <c r="R359" t="s">
        <v>54</v>
      </c>
      <c r="S359">
        <v>2</v>
      </c>
      <c r="T359">
        <v>4</v>
      </c>
      <c r="U359">
        <v>2</v>
      </c>
      <c r="V359" t="s">
        <v>46</v>
      </c>
      <c r="W359" t="s">
        <v>68</v>
      </c>
      <c r="X359" t="s">
        <v>47</v>
      </c>
      <c r="Y359" t="s">
        <v>62</v>
      </c>
      <c r="Z359">
        <v>4.5999999999999996</v>
      </c>
      <c r="AA359">
        <f t="shared" si="15"/>
        <v>10</v>
      </c>
      <c r="AB359" t="str">
        <f t="shared" si="16"/>
        <v>Yes</v>
      </c>
      <c r="AC359" t="str">
        <f t="shared" si="17"/>
        <v>Needs Improvement</v>
      </c>
    </row>
    <row r="360" spans="1:29" x14ac:dyDescent="0.3">
      <c r="A360" t="s">
        <v>481</v>
      </c>
      <c r="B360" s="1">
        <v>46055</v>
      </c>
      <c r="C360" s="1">
        <v>46057</v>
      </c>
      <c r="D360" s="1">
        <v>46059</v>
      </c>
      <c r="E360" t="s">
        <v>111</v>
      </c>
      <c r="F360" t="s">
        <v>27</v>
      </c>
      <c r="G360" t="s">
        <v>112</v>
      </c>
      <c r="H360">
        <v>1144</v>
      </c>
      <c r="I360" t="s">
        <v>60</v>
      </c>
      <c r="J360">
        <v>10</v>
      </c>
      <c r="K360">
        <v>13728</v>
      </c>
      <c r="L360">
        <v>6</v>
      </c>
      <c r="M360" t="s">
        <v>85</v>
      </c>
      <c r="N360">
        <v>6</v>
      </c>
      <c r="O360">
        <v>4.4000000000000004</v>
      </c>
      <c r="P360" t="s">
        <v>45</v>
      </c>
      <c r="Q360" t="s">
        <v>62</v>
      </c>
      <c r="R360" t="s">
        <v>54</v>
      </c>
      <c r="S360">
        <v>2</v>
      </c>
      <c r="T360">
        <v>2</v>
      </c>
      <c r="U360">
        <v>0</v>
      </c>
      <c r="V360" t="s">
        <v>35</v>
      </c>
      <c r="W360" t="s">
        <v>36</v>
      </c>
      <c r="X360" t="s">
        <v>63</v>
      </c>
      <c r="Y360" t="s">
        <v>62</v>
      </c>
      <c r="Z360">
        <v>3.2</v>
      </c>
      <c r="AA360">
        <f t="shared" si="15"/>
        <v>12</v>
      </c>
      <c r="AB360" t="str">
        <f t="shared" si="16"/>
        <v>No</v>
      </c>
      <c r="AC360" t="str">
        <f t="shared" si="17"/>
        <v>Efficient</v>
      </c>
    </row>
    <row r="361" spans="1:29" x14ac:dyDescent="0.3">
      <c r="A361" t="s">
        <v>482</v>
      </c>
      <c r="B361" s="1">
        <v>46036</v>
      </c>
      <c r="C361" s="1">
        <v>46038</v>
      </c>
      <c r="D361" s="1">
        <v>46040</v>
      </c>
      <c r="E361" t="s">
        <v>92</v>
      </c>
      <c r="F361" t="s">
        <v>93</v>
      </c>
      <c r="G361" t="s">
        <v>94</v>
      </c>
      <c r="H361">
        <v>919</v>
      </c>
      <c r="I361" t="s">
        <v>60</v>
      </c>
      <c r="J361">
        <v>5</v>
      </c>
      <c r="K361">
        <v>7352</v>
      </c>
      <c r="L361">
        <v>6</v>
      </c>
      <c r="M361" t="s">
        <v>172</v>
      </c>
      <c r="N361">
        <v>1</v>
      </c>
      <c r="O361">
        <v>4.2</v>
      </c>
      <c r="P361" t="s">
        <v>32</v>
      </c>
      <c r="Q361" t="s">
        <v>33</v>
      </c>
      <c r="R361" t="s">
        <v>54</v>
      </c>
      <c r="S361">
        <v>2</v>
      </c>
      <c r="T361">
        <v>2</v>
      </c>
      <c r="U361">
        <v>0</v>
      </c>
      <c r="V361" t="s">
        <v>35</v>
      </c>
      <c r="W361" t="s">
        <v>55</v>
      </c>
      <c r="X361" t="s">
        <v>63</v>
      </c>
      <c r="Y361" t="s">
        <v>38</v>
      </c>
      <c r="Z361">
        <v>4.7</v>
      </c>
      <c r="AA361">
        <f t="shared" si="15"/>
        <v>8</v>
      </c>
      <c r="AB361" t="str">
        <f t="shared" si="16"/>
        <v>No</v>
      </c>
      <c r="AC361" t="str">
        <f t="shared" si="17"/>
        <v>Efficient</v>
      </c>
    </row>
    <row r="362" spans="1:29" x14ac:dyDescent="0.3">
      <c r="A362" t="s">
        <v>483</v>
      </c>
      <c r="B362" s="1">
        <v>46039</v>
      </c>
      <c r="C362" s="1">
        <v>46040</v>
      </c>
      <c r="D362" s="1">
        <v>46043</v>
      </c>
      <c r="E362" t="s">
        <v>82</v>
      </c>
      <c r="F362" t="s">
        <v>83</v>
      </c>
      <c r="G362" t="s">
        <v>84</v>
      </c>
      <c r="H362">
        <v>427</v>
      </c>
      <c r="I362" t="s">
        <v>60</v>
      </c>
      <c r="J362">
        <v>5</v>
      </c>
      <c r="K362">
        <v>3416</v>
      </c>
      <c r="L362">
        <v>8</v>
      </c>
      <c r="M362" t="s">
        <v>103</v>
      </c>
      <c r="N362">
        <v>15</v>
      </c>
      <c r="O362">
        <v>3.2</v>
      </c>
      <c r="P362" t="s">
        <v>53</v>
      </c>
      <c r="Q362" t="s">
        <v>62</v>
      </c>
      <c r="R362" t="s">
        <v>34</v>
      </c>
      <c r="S362">
        <v>1</v>
      </c>
      <c r="T362">
        <v>3</v>
      </c>
      <c r="U362">
        <v>2</v>
      </c>
      <c r="V362" t="s">
        <v>46</v>
      </c>
      <c r="W362" t="s">
        <v>68</v>
      </c>
      <c r="X362" t="s">
        <v>37</v>
      </c>
      <c r="Y362" t="s">
        <v>38</v>
      </c>
      <c r="Z362">
        <v>3.6</v>
      </c>
      <c r="AA362">
        <f t="shared" si="15"/>
        <v>8</v>
      </c>
      <c r="AB362" t="str">
        <f t="shared" si="16"/>
        <v>Yes</v>
      </c>
      <c r="AC362" t="str">
        <f t="shared" si="17"/>
        <v>Needs Improvement</v>
      </c>
    </row>
    <row r="363" spans="1:29" x14ac:dyDescent="0.3">
      <c r="A363" t="s">
        <v>484</v>
      </c>
      <c r="B363" s="1">
        <v>46030</v>
      </c>
      <c r="C363" s="1">
        <v>46031</v>
      </c>
      <c r="D363" s="1">
        <v>46035</v>
      </c>
      <c r="E363" t="s">
        <v>111</v>
      </c>
      <c r="F363" t="s">
        <v>27</v>
      </c>
      <c r="G363" t="s">
        <v>112</v>
      </c>
      <c r="H363">
        <v>881</v>
      </c>
      <c r="I363" t="s">
        <v>87</v>
      </c>
      <c r="J363">
        <v>5</v>
      </c>
      <c r="K363">
        <v>10572</v>
      </c>
      <c r="L363">
        <v>7</v>
      </c>
      <c r="M363" t="s">
        <v>283</v>
      </c>
      <c r="N363">
        <v>8</v>
      </c>
      <c r="O363">
        <v>3.1</v>
      </c>
      <c r="P363" t="s">
        <v>45</v>
      </c>
      <c r="Q363" t="s">
        <v>33</v>
      </c>
      <c r="R363" t="s">
        <v>34</v>
      </c>
      <c r="S363">
        <v>1</v>
      </c>
      <c r="T363">
        <v>4</v>
      </c>
      <c r="U363">
        <v>3</v>
      </c>
      <c r="V363" t="s">
        <v>46</v>
      </c>
      <c r="W363" t="s">
        <v>36</v>
      </c>
      <c r="X363" t="s">
        <v>37</v>
      </c>
      <c r="Y363" t="s">
        <v>33</v>
      </c>
      <c r="Z363">
        <v>4.5</v>
      </c>
      <c r="AA363">
        <f t="shared" si="15"/>
        <v>12</v>
      </c>
      <c r="AB363" t="str">
        <f t="shared" si="16"/>
        <v>Yes</v>
      </c>
      <c r="AC363" t="str">
        <f t="shared" si="17"/>
        <v>Needs Improvement</v>
      </c>
    </row>
    <row r="364" spans="1:29" x14ac:dyDescent="0.3">
      <c r="A364" t="s">
        <v>485</v>
      </c>
      <c r="B364" s="1">
        <v>46050</v>
      </c>
      <c r="C364" s="1">
        <v>46052</v>
      </c>
      <c r="D364" s="1">
        <v>46054</v>
      </c>
      <c r="E364" t="s">
        <v>72</v>
      </c>
      <c r="F364" t="s">
        <v>73</v>
      </c>
      <c r="G364" t="s">
        <v>74</v>
      </c>
      <c r="H364">
        <v>1104</v>
      </c>
      <c r="I364" t="s">
        <v>30</v>
      </c>
      <c r="J364">
        <v>2</v>
      </c>
      <c r="K364">
        <v>6624</v>
      </c>
      <c r="L364">
        <v>5</v>
      </c>
      <c r="M364" t="s">
        <v>165</v>
      </c>
      <c r="N364">
        <v>10</v>
      </c>
      <c r="O364">
        <v>4.5</v>
      </c>
      <c r="P364" t="s">
        <v>53</v>
      </c>
      <c r="Q364" t="s">
        <v>38</v>
      </c>
      <c r="R364" t="s">
        <v>34</v>
      </c>
      <c r="S364">
        <v>2</v>
      </c>
      <c r="T364">
        <v>2</v>
      </c>
      <c r="U364">
        <v>0</v>
      </c>
      <c r="V364" t="s">
        <v>35</v>
      </c>
      <c r="W364" t="s">
        <v>36</v>
      </c>
      <c r="X364" t="s">
        <v>95</v>
      </c>
      <c r="Y364" t="s">
        <v>62</v>
      </c>
      <c r="Z364">
        <v>3.3</v>
      </c>
      <c r="AA364">
        <f t="shared" si="15"/>
        <v>6</v>
      </c>
      <c r="AB364" t="str">
        <f t="shared" si="16"/>
        <v>No</v>
      </c>
      <c r="AC364" t="str">
        <f t="shared" si="17"/>
        <v>Efficient</v>
      </c>
    </row>
    <row r="365" spans="1:29" x14ac:dyDescent="0.3">
      <c r="A365" t="s">
        <v>486</v>
      </c>
      <c r="B365" s="1">
        <v>46065</v>
      </c>
      <c r="C365" s="1">
        <v>46066</v>
      </c>
      <c r="D365" s="1">
        <v>46071</v>
      </c>
      <c r="E365" t="s">
        <v>27</v>
      </c>
      <c r="F365" t="s">
        <v>28</v>
      </c>
      <c r="G365" t="s">
        <v>29</v>
      </c>
      <c r="H365">
        <v>1255</v>
      </c>
      <c r="I365" t="s">
        <v>43</v>
      </c>
      <c r="J365">
        <v>8</v>
      </c>
      <c r="K365">
        <v>11295</v>
      </c>
      <c r="L365">
        <v>8</v>
      </c>
      <c r="M365" t="s">
        <v>78</v>
      </c>
      <c r="N365">
        <v>13</v>
      </c>
      <c r="O365">
        <v>4.5999999999999996</v>
      </c>
      <c r="P365" t="s">
        <v>32</v>
      </c>
      <c r="Q365" t="s">
        <v>33</v>
      </c>
      <c r="R365" t="s">
        <v>67</v>
      </c>
      <c r="S365">
        <v>2</v>
      </c>
      <c r="T365">
        <v>5</v>
      </c>
      <c r="U365">
        <v>3</v>
      </c>
      <c r="V365" t="s">
        <v>46</v>
      </c>
      <c r="W365" t="s">
        <v>55</v>
      </c>
      <c r="X365" t="s">
        <v>95</v>
      </c>
      <c r="Y365" t="s">
        <v>38</v>
      </c>
      <c r="Z365">
        <v>4.0999999999999996</v>
      </c>
      <c r="AA365">
        <f t="shared" si="15"/>
        <v>9</v>
      </c>
      <c r="AB365" t="str">
        <f t="shared" si="16"/>
        <v>Yes</v>
      </c>
      <c r="AC365" t="str">
        <f t="shared" si="17"/>
        <v>Needs Improvement</v>
      </c>
    </row>
    <row r="366" spans="1:29" x14ac:dyDescent="0.3">
      <c r="A366" t="s">
        <v>487</v>
      </c>
      <c r="B366" s="1">
        <v>46142</v>
      </c>
      <c r="C366" s="1">
        <v>46143</v>
      </c>
      <c r="D366" s="1">
        <v>46148</v>
      </c>
      <c r="E366" t="s">
        <v>49</v>
      </c>
      <c r="F366" t="s">
        <v>50</v>
      </c>
      <c r="G366" t="s">
        <v>51</v>
      </c>
      <c r="H366">
        <v>1596</v>
      </c>
      <c r="I366" t="s">
        <v>30</v>
      </c>
      <c r="J366">
        <v>7</v>
      </c>
      <c r="K366">
        <v>9576</v>
      </c>
      <c r="L366">
        <v>10</v>
      </c>
      <c r="M366" t="s">
        <v>97</v>
      </c>
      <c r="N366">
        <v>2</v>
      </c>
      <c r="O366">
        <v>3.7</v>
      </c>
      <c r="P366" t="s">
        <v>66</v>
      </c>
      <c r="Q366" t="s">
        <v>38</v>
      </c>
      <c r="R366" t="s">
        <v>34</v>
      </c>
      <c r="S366">
        <v>3</v>
      </c>
      <c r="T366">
        <v>5</v>
      </c>
      <c r="U366">
        <v>2</v>
      </c>
      <c r="V366" t="s">
        <v>46</v>
      </c>
      <c r="W366" t="s">
        <v>36</v>
      </c>
      <c r="X366" t="s">
        <v>37</v>
      </c>
      <c r="Y366" t="s">
        <v>33</v>
      </c>
      <c r="Z366">
        <v>3.1</v>
      </c>
      <c r="AA366">
        <f t="shared" si="15"/>
        <v>6</v>
      </c>
      <c r="AB366" t="str">
        <f t="shared" si="16"/>
        <v>Yes</v>
      </c>
      <c r="AC366" t="str">
        <f t="shared" si="17"/>
        <v>Needs Improvement</v>
      </c>
    </row>
    <row r="367" spans="1:29" x14ac:dyDescent="0.3">
      <c r="A367" t="s">
        <v>488</v>
      </c>
      <c r="B367" s="1">
        <v>46072</v>
      </c>
      <c r="C367" s="1">
        <v>46074</v>
      </c>
      <c r="D367" s="1">
        <v>46075</v>
      </c>
      <c r="E367" t="s">
        <v>40</v>
      </c>
      <c r="F367" t="s">
        <v>41</v>
      </c>
      <c r="G367" t="s">
        <v>42</v>
      </c>
      <c r="H367">
        <v>812</v>
      </c>
      <c r="I367" t="s">
        <v>43</v>
      </c>
      <c r="J367">
        <v>2</v>
      </c>
      <c r="K367">
        <v>8932</v>
      </c>
      <c r="L367">
        <v>10</v>
      </c>
      <c r="M367" t="s">
        <v>178</v>
      </c>
      <c r="N367">
        <v>8</v>
      </c>
      <c r="O367">
        <v>3.2</v>
      </c>
      <c r="P367" t="s">
        <v>53</v>
      </c>
      <c r="Q367" t="s">
        <v>33</v>
      </c>
      <c r="R367" t="s">
        <v>67</v>
      </c>
      <c r="S367">
        <v>1</v>
      </c>
      <c r="T367">
        <v>1</v>
      </c>
      <c r="U367">
        <v>0</v>
      </c>
      <c r="V367" t="s">
        <v>35</v>
      </c>
      <c r="W367" t="s">
        <v>36</v>
      </c>
      <c r="X367" t="s">
        <v>76</v>
      </c>
      <c r="Y367" t="s">
        <v>38</v>
      </c>
      <c r="Z367">
        <v>4</v>
      </c>
      <c r="AA367">
        <f t="shared" si="15"/>
        <v>11</v>
      </c>
      <c r="AB367" t="str">
        <f t="shared" si="16"/>
        <v>No</v>
      </c>
      <c r="AC367" t="str">
        <f t="shared" si="17"/>
        <v>Efficient</v>
      </c>
    </row>
    <row r="368" spans="1:29" x14ac:dyDescent="0.3">
      <c r="A368" t="s">
        <v>489</v>
      </c>
      <c r="B368" s="1">
        <v>46031</v>
      </c>
      <c r="C368" s="1">
        <v>46033</v>
      </c>
      <c r="D368" s="1">
        <v>46035</v>
      </c>
      <c r="E368" t="s">
        <v>57</v>
      </c>
      <c r="F368" t="s">
        <v>58</v>
      </c>
      <c r="G368" t="s">
        <v>59</v>
      </c>
      <c r="H368">
        <v>1223</v>
      </c>
      <c r="I368" t="s">
        <v>43</v>
      </c>
      <c r="J368">
        <v>1</v>
      </c>
      <c r="K368">
        <v>7338</v>
      </c>
      <c r="L368">
        <v>7</v>
      </c>
      <c r="M368" t="s">
        <v>208</v>
      </c>
      <c r="N368">
        <v>6</v>
      </c>
      <c r="O368">
        <v>4.5999999999999996</v>
      </c>
      <c r="P368" t="s">
        <v>32</v>
      </c>
      <c r="Q368" t="s">
        <v>62</v>
      </c>
      <c r="R368" t="s">
        <v>67</v>
      </c>
      <c r="S368">
        <v>2</v>
      </c>
      <c r="T368">
        <v>2</v>
      </c>
      <c r="U368">
        <v>0</v>
      </c>
      <c r="V368" t="s">
        <v>35</v>
      </c>
      <c r="W368" t="s">
        <v>55</v>
      </c>
      <c r="X368" t="s">
        <v>76</v>
      </c>
      <c r="Y368" t="s">
        <v>62</v>
      </c>
      <c r="Z368">
        <v>4.9000000000000004</v>
      </c>
      <c r="AA368">
        <f t="shared" si="15"/>
        <v>6</v>
      </c>
      <c r="AB368" t="str">
        <f t="shared" si="16"/>
        <v>No</v>
      </c>
      <c r="AC368" t="str">
        <f t="shared" si="17"/>
        <v>Efficient</v>
      </c>
    </row>
    <row r="369" spans="1:29" x14ac:dyDescent="0.3">
      <c r="A369" t="s">
        <v>490</v>
      </c>
      <c r="B369" s="1">
        <v>46134</v>
      </c>
      <c r="C369" s="1">
        <v>46136</v>
      </c>
      <c r="D369" s="1">
        <v>46140</v>
      </c>
      <c r="E369" t="s">
        <v>82</v>
      </c>
      <c r="F369" t="s">
        <v>83</v>
      </c>
      <c r="G369" t="s">
        <v>84</v>
      </c>
      <c r="H369">
        <v>1717</v>
      </c>
      <c r="I369" t="s">
        <v>60</v>
      </c>
      <c r="J369">
        <v>2</v>
      </c>
      <c r="K369">
        <v>10302</v>
      </c>
      <c r="L369">
        <v>10</v>
      </c>
      <c r="M369" t="s">
        <v>70</v>
      </c>
      <c r="N369">
        <v>8</v>
      </c>
      <c r="O369">
        <v>4.3</v>
      </c>
      <c r="P369" t="s">
        <v>53</v>
      </c>
      <c r="Q369" t="s">
        <v>33</v>
      </c>
      <c r="R369" t="s">
        <v>67</v>
      </c>
      <c r="S369">
        <v>3</v>
      </c>
      <c r="T369">
        <v>4</v>
      </c>
      <c r="U369">
        <v>1</v>
      </c>
      <c r="V369" t="s">
        <v>46</v>
      </c>
      <c r="W369" t="s">
        <v>36</v>
      </c>
      <c r="X369" t="s">
        <v>37</v>
      </c>
      <c r="Y369" t="s">
        <v>33</v>
      </c>
      <c r="Z369">
        <v>3.1</v>
      </c>
      <c r="AA369">
        <f t="shared" si="15"/>
        <v>6</v>
      </c>
      <c r="AB369" t="str">
        <f t="shared" si="16"/>
        <v>Yes</v>
      </c>
      <c r="AC369" t="str">
        <f t="shared" si="17"/>
        <v>Needs Improvement</v>
      </c>
    </row>
    <row r="370" spans="1:29" x14ac:dyDescent="0.3">
      <c r="A370" t="s">
        <v>491</v>
      </c>
      <c r="B370" s="1">
        <v>46062</v>
      </c>
      <c r="C370" s="1">
        <v>46062</v>
      </c>
      <c r="D370" s="1">
        <v>46067</v>
      </c>
      <c r="E370" t="s">
        <v>92</v>
      </c>
      <c r="F370" t="s">
        <v>93</v>
      </c>
      <c r="G370" t="s">
        <v>94</v>
      </c>
      <c r="H370">
        <v>1451</v>
      </c>
      <c r="I370" t="s">
        <v>60</v>
      </c>
      <c r="J370">
        <v>10</v>
      </c>
      <c r="K370">
        <v>8706</v>
      </c>
      <c r="L370">
        <v>5</v>
      </c>
      <c r="M370" t="s">
        <v>118</v>
      </c>
      <c r="N370">
        <v>8</v>
      </c>
      <c r="O370">
        <v>4.2</v>
      </c>
      <c r="P370" t="s">
        <v>45</v>
      </c>
      <c r="Q370" t="s">
        <v>38</v>
      </c>
      <c r="R370" t="s">
        <v>67</v>
      </c>
      <c r="S370">
        <v>3</v>
      </c>
      <c r="T370">
        <v>5</v>
      </c>
      <c r="U370">
        <v>2</v>
      </c>
      <c r="V370" t="s">
        <v>46</v>
      </c>
      <c r="W370" t="s">
        <v>55</v>
      </c>
      <c r="X370" t="s">
        <v>95</v>
      </c>
      <c r="Y370" t="s">
        <v>62</v>
      </c>
      <c r="Z370">
        <v>3.2</v>
      </c>
      <c r="AA370">
        <f t="shared" si="15"/>
        <v>6</v>
      </c>
      <c r="AB370" t="str">
        <f t="shared" si="16"/>
        <v>Yes</v>
      </c>
      <c r="AC370" t="str">
        <f t="shared" si="17"/>
        <v>Needs Improvement</v>
      </c>
    </row>
    <row r="371" spans="1:29" x14ac:dyDescent="0.3">
      <c r="A371" t="s">
        <v>492</v>
      </c>
      <c r="B371" s="1">
        <v>46110</v>
      </c>
      <c r="C371" s="1">
        <v>46112</v>
      </c>
      <c r="D371" s="1">
        <v>46115</v>
      </c>
      <c r="E371" t="s">
        <v>82</v>
      </c>
      <c r="F371" t="s">
        <v>83</v>
      </c>
      <c r="G371" t="s">
        <v>84</v>
      </c>
      <c r="H371">
        <v>858</v>
      </c>
      <c r="I371" t="s">
        <v>60</v>
      </c>
      <c r="J371">
        <v>1</v>
      </c>
      <c r="K371">
        <v>8580</v>
      </c>
      <c r="L371">
        <v>6</v>
      </c>
      <c r="M371" t="s">
        <v>143</v>
      </c>
      <c r="N371">
        <v>2</v>
      </c>
      <c r="O371">
        <v>3.2</v>
      </c>
      <c r="P371" t="s">
        <v>45</v>
      </c>
      <c r="Q371" t="s">
        <v>62</v>
      </c>
      <c r="R371" t="s">
        <v>67</v>
      </c>
      <c r="S371">
        <v>1</v>
      </c>
      <c r="T371">
        <v>3</v>
      </c>
      <c r="U371">
        <v>2</v>
      </c>
      <c r="V371" t="s">
        <v>46</v>
      </c>
      <c r="W371" t="s">
        <v>55</v>
      </c>
      <c r="X371" t="s">
        <v>37</v>
      </c>
      <c r="Y371" t="s">
        <v>62</v>
      </c>
      <c r="Z371">
        <v>3.5</v>
      </c>
      <c r="AA371">
        <f t="shared" si="15"/>
        <v>10</v>
      </c>
      <c r="AB371" t="str">
        <f t="shared" si="16"/>
        <v>Yes</v>
      </c>
      <c r="AC371" t="str">
        <f t="shared" si="17"/>
        <v>Needs Improvement</v>
      </c>
    </row>
    <row r="372" spans="1:29" x14ac:dyDescent="0.3">
      <c r="A372" t="s">
        <v>493</v>
      </c>
      <c r="B372" s="1">
        <v>46097</v>
      </c>
      <c r="C372" s="1">
        <v>46097</v>
      </c>
      <c r="D372" s="1">
        <v>46101</v>
      </c>
      <c r="E372" t="s">
        <v>82</v>
      </c>
      <c r="F372" t="s">
        <v>83</v>
      </c>
      <c r="G372" t="s">
        <v>84</v>
      </c>
      <c r="H372">
        <v>404</v>
      </c>
      <c r="I372" t="s">
        <v>43</v>
      </c>
      <c r="J372">
        <v>3</v>
      </c>
      <c r="K372">
        <v>2424</v>
      </c>
      <c r="L372">
        <v>8</v>
      </c>
      <c r="M372" t="s">
        <v>109</v>
      </c>
      <c r="N372">
        <v>1</v>
      </c>
      <c r="O372">
        <v>3</v>
      </c>
      <c r="P372" t="s">
        <v>32</v>
      </c>
      <c r="Q372" t="s">
        <v>33</v>
      </c>
      <c r="R372" t="s">
        <v>54</v>
      </c>
      <c r="S372">
        <v>1</v>
      </c>
      <c r="T372">
        <v>4</v>
      </c>
      <c r="U372">
        <v>3</v>
      </c>
      <c r="V372" t="s">
        <v>46</v>
      </c>
      <c r="W372" t="s">
        <v>55</v>
      </c>
      <c r="X372" t="s">
        <v>95</v>
      </c>
      <c r="Y372" t="s">
        <v>33</v>
      </c>
      <c r="Z372">
        <v>3.3</v>
      </c>
      <c r="AA372">
        <f t="shared" si="15"/>
        <v>6</v>
      </c>
      <c r="AB372" t="str">
        <f t="shared" si="16"/>
        <v>Yes</v>
      </c>
      <c r="AC372" t="str">
        <f t="shared" si="17"/>
        <v>Needs Improvement</v>
      </c>
    </row>
    <row r="373" spans="1:29" x14ac:dyDescent="0.3">
      <c r="A373" t="s">
        <v>494</v>
      </c>
      <c r="B373" s="1">
        <v>46041</v>
      </c>
      <c r="C373" s="1">
        <v>46043</v>
      </c>
      <c r="D373" s="1">
        <v>46047</v>
      </c>
      <c r="E373" t="s">
        <v>57</v>
      </c>
      <c r="F373" t="s">
        <v>58</v>
      </c>
      <c r="G373" t="s">
        <v>59</v>
      </c>
      <c r="H373">
        <v>1271</v>
      </c>
      <c r="I373" t="s">
        <v>43</v>
      </c>
      <c r="J373">
        <v>7</v>
      </c>
      <c r="K373">
        <v>8897</v>
      </c>
      <c r="L373">
        <v>6</v>
      </c>
      <c r="M373" t="s">
        <v>139</v>
      </c>
      <c r="N373">
        <v>12</v>
      </c>
      <c r="O373">
        <v>3.1</v>
      </c>
      <c r="P373" t="s">
        <v>45</v>
      </c>
      <c r="Q373" t="s">
        <v>33</v>
      </c>
      <c r="R373" t="s">
        <v>34</v>
      </c>
      <c r="S373">
        <v>2</v>
      </c>
      <c r="T373">
        <v>4</v>
      </c>
      <c r="U373">
        <v>2</v>
      </c>
      <c r="V373" t="s">
        <v>46</v>
      </c>
      <c r="W373" t="s">
        <v>68</v>
      </c>
      <c r="X373" t="s">
        <v>95</v>
      </c>
      <c r="Y373" t="s">
        <v>38</v>
      </c>
      <c r="Z373">
        <v>4.0999999999999996</v>
      </c>
      <c r="AA373">
        <f t="shared" si="15"/>
        <v>7</v>
      </c>
      <c r="AB373" t="str">
        <f t="shared" si="16"/>
        <v>Yes</v>
      </c>
      <c r="AC373" t="str">
        <f t="shared" si="17"/>
        <v>Needs Improvement</v>
      </c>
    </row>
    <row r="374" spans="1:29" x14ac:dyDescent="0.3">
      <c r="A374" t="s">
        <v>495</v>
      </c>
      <c r="B374" s="1">
        <v>46047</v>
      </c>
      <c r="C374" s="1">
        <v>46047</v>
      </c>
      <c r="D374" s="1">
        <v>46050</v>
      </c>
      <c r="E374" t="s">
        <v>72</v>
      </c>
      <c r="F374" t="s">
        <v>73</v>
      </c>
      <c r="G374" t="s">
        <v>74</v>
      </c>
      <c r="H374">
        <v>1467</v>
      </c>
      <c r="I374" t="s">
        <v>30</v>
      </c>
      <c r="J374">
        <v>9</v>
      </c>
      <c r="K374">
        <v>14670</v>
      </c>
      <c r="L374">
        <v>6</v>
      </c>
      <c r="M374" t="s">
        <v>61</v>
      </c>
      <c r="N374">
        <v>13</v>
      </c>
      <c r="O374">
        <v>4.3</v>
      </c>
      <c r="P374" t="s">
        <v>45</v>
      </c>
      <c r="Q374" t="s">
        <v>62</v>
      </c>
      <c r="R374" t="s">
        <v>67</v>
      </c>
      <c r="S374">
        <v>3</v>
      </c>
      <c r="T374">
        <v>3</v>
      </c>
      <c r="U374">
        <v>0</v>
      </c>
      <c r="V374" t="s">
        <v>35</v>
      </c>
      <c r="W374" t="s">
        <v>36</v>
      </c>
      <c r="X374" t="s">
        <v>95</v>
      </c>
      <c r="Y374" t="s">
        <v>62</v>
      </c>
      <c r="Z374">
        <v>3.4</v>
      </c>
      <c r="AA374">
        <f t="shared" si="15"/>
        <v>10</v>
      </c>
      <c r="AB374" t="str">
        <f t="shared" si="16"/>
        <v>No</v>
      </c>
      <c r="AC374" t="str">
        <f t="shared" si="17"/>
        <v>Efficient</v>
      </c>
    </row>
    <row r="375" spans="1:29" x14ac:dyDescent="0.3">
      <c r="A375" t="s">
        <v>496</v>
      </c>
      <c r="B375" s="1">
        <v>46108</v>
      </c>
      <c r="C375" s="1">
        <v>46108</v>
      </c>
      <c r="D375" s="1">
        <v>46111</v>
      </c>
      <c r="E375" t="s">
        <v>27</v>
      </c>
      <c r="F375" t="s">
        <v>28</v>
      </c>
      <c r="G375" t="s">
        <v>29</v>
      </c>
      <c r="H375">
        <v>1520</v>
      </c>
      <c r="I375" t="s">
        <v>30</v>
      </c>
      <c r="J375">
        <v>5</v>
      </c>
      <c r="K375">
        <v>10640</v>
      </c>
      <c r="L375">
        <v>8</v>
      </c>
      <c r="M375" t="s">
        <v>243</v>
      </c>
      <c r="N375">
        <v>6</v>
      </c>
      <c r="O375">
        <v>4.2</v>
      </c>
      <c r="P375" t="s">
        <v>53</v>
      </c>
      <c r="Q375" t="s">
        <v>38</v>
      </c>
      <c r="R375" t="s">
        <v>67</v>
      </c>
      <c r="S375">
        <v>3</v>
      </c>
      <c r="T375">
        <v>3</v>
      </c>
      <c r="U375">
        <v>0</v>
      </c>
      <c r="V375" t="s">
        <v>35</v>
      </c>
      <c r="W375" t="s">
        <v>55</v>
      </c>
      <c r="X375" t="s">
        <v>37</v>
      </c>
      <c r="Y375" t="s">
        <v>38</v>
      </c>
      <c r="Z375">
        <v>4.5999999999999996</v>
      </c>
      <c r="AA375">
        <f t="shared" si="15"/>
        <v>7</v>
      </c>
      <c r="AB375" t="str">
        <f t="shared" si="16"/>
        <v>No</v>
      </c>
      <c r="AC375" t="str">
        <f t="shared" si="17"/>
        <v>Efficient</v>
      </c>
    </row>
    <row r="376" spans="1:29" x14ac:dyDescent="0.3">
      <c r="A376" t="s">
        <v>497</v>
      </c>
      <c r="B376" s="1">
        <v>46085</v>
      </c>
      <c r="C376" s="1">
        <v>46087</v>
      </c>
      <c r="D376" s="1">
        <v>46089</v>
      </c>
      <c r="E376" t="s">
        <v>72</v>
      </c>
      <c r="F376" t="s">
        <v>73</v>
      </c>
      <c r="G376" t="s">
        <v>74</v>
      </c>
      <c r="H376">
        <v>345</v>
      </c>
      <c r="I376" t="s">
        <v>60</v>
      </c>
      <c r="J376">
        <v>8</v>
      </c>
      <c r="K376">
        <v>3450</v>
      </c>
      <c r="L376">
        <v>9</v>
      </c>
      <c r="M376" t="s">
        <v>226</v>
      </c>
      <c r="N376">
        <v>7</v>
      </c>
      <c r="O376">
        <v>3.4</v>
      </c>
      <c r="P376" t="s">
        <v>66</v>
      </c>
      <c r="Q376" t="s">
        <v>38</v>
      </c>
      <c r="R376" t="s">
        <v>67</v>
      </c>
      <c r="S376">
        <v>1</v>
      </c>
      <c r="T376">
        <v>2</v>
      </c>
      <c r="U376">
        <v>1</v>
      </c>
      <c r="V376" t="s">
        <v>46</v>
      </c>
      <c r="W376" t="s">
        <v>36</v>
      </c>
      <c r="X376" t="s">
        <v>37</v>
      </c>
      <c r="Y376" t="s">
        <v>33</v>
      </c>
      <c r="Z376">
        <v>3.8</v>
      </c>
      <c r="AA376">
        <f t="shared" si="15"/>
        <v>10</v>
      </c>
      <c r="AB376" t="str">
        <f t="shared" si="16"/>
        <v>Yes</v>
      </c>
      <c r="AC376" t="str">
        <f t="shared" si="17"/>
        <v>Needs Improvement</v>
      </c>
    </row>
    <row r="377" spans="1:29" x14ac:dyDescent="0.3">
      <c r="A377" t="s">
        <v>498</v>
      </c>
      <c r="B377" s="1">
        <v>46048</v>
      </c>
      <c r="C377" s="1">
        <v>46049</v>
      </c>
      <c r="D377" s="1">
        <v>46051</v>
      </c>
      <c r="E377" t="s">
        <v>40</v>
      </c>
      <c r="F377" t="s">
        <v>41</v>
      </c>
      <c r="G377" t="s">
        <v>42</v>
      </c>
      <c r="H377">
        <v>350</v>
      </c>
      <c r="I377" t="s">
        <v>43</v>
      </c>
      <c r="J377">
        <v>10</v>
      </c>
      <c r="K377">
        <v>3150</v>
      </c>
      <c r="L377">
        <v>5</v>
      </c>
      <c r="M377" t="s">
        <v>120</v>
      </c>
      <c r="N377">
        <v>3</v>
      </c>
      <c r="O377">
        <v>3.4</v>
      </c>
      <c r="P377" t="s">
        <v>53</v>
      </c>
      <c r="Q377" t="s">
        <v>38</v>
      </c>
      <c r="R377" t="s">
        <v>34</v>
      </c>
      <c r="S377">
        <v>1</v>
      </c>
      <c r="T377">
        <v>2</v>
      </c>
      <c r="U377">
        <v>1</v>
      </c>
      <c r="V377" t="s">
        <v>46</v>
      </c>
      <c r="W377" t="s">
        <v>68</v>
      </c>
      <c r="X377" t="s">
        <v>37</v>
      </c>
      <c r="Y377" t="s">
        <v>33</v>
      </c>
      <c r="Z377">
        <v>3.7</v>
      </c>
      <c r="AA377">
        <f t="shared" si="15"/>
        <v>9</v>
      </c>
      <c r="AB377" t="str">
        <f t="shared" si="16"/>
        <v>Yes</v>
      </c>
      <c r="AC377" t="str">
        <f t="shared" si="17"/>
        <v>Needs Improvement</v>
      </c>
    </row>
    <row r="378" spans="1:29" x14ac:dyDescent="0.3">
      <c r="A378" t="s">
        <v>499</v>
      </c>
      <c r="B378" s="1">
        <v>46057</v>
      </c>
      <c r="C378" s="1">
        <v>46057</v>
      </c>
      <c r="D378" s="1">
        <v>46059</v>
      </c>
      <c r="E378" t="s">
        <v>49</v>
      </c>
      <c r="F378" t="s">
        <v>50</v>
      </c>
      <c r="G378" t="s">
        <v>51</v>
      </c>
      <c r="H378">
        <v>460</v>
      </c>
      <c r="I378" t="s">
        <v>87</v>
      </c>
      <c r="J378">
        <v>10</v>
      </c>
      <c r="K378">
        <v>2760</v>
      </c>
      <c r="L378">
        <v>7</v>
      </c>
      <c r="M378" t="s">
        <v>147</v>
      </c>
      <c r="N378">
        <v>2</v>
      </c>
      <c r="O378">
        <v>4.7</v>
      </c>
      <c r="P378" t="s">
        <v>53</v>
      </c>
      <c r="Q378" t="s">
        <v>62</v>
      </c>
      <c r="R378" t="s">
        <v>67</v>
      </c>
      <c r="S378">
        <v>1</v>
      </c>
      <c r="T378">
        <v>2</v>
      </c>
      <c r="U378">
        <v>1</v>
      </c>
      <c r="V378" t="s">
        <v>46</v>
      </c>
      <c r="W378" t="s">
        <v>68</v>
      </c>
      <c r="X378" t="s">
        <v>76</v>
      </c>
      <c r="Y378" t="s">
        <v>38</v>
      </c>
      <c r="Z378">
        <v>4.5999999999999996</v>
      </c>
      <c r="AA378">
        <f t="shared" si="15"/>
        <v>6</v>
      </c>
      <c r="AB378" t="str">
        <f t="shared" si="16"/>
        <v>Yes</v>
      </c>
      <c r="AC378" t="str">
        <f t="shared" si="17"/>
        <v>Needs Improvement</v>
      </c>
    </row>
    <row r="379" spans="1:29" x14ac:dyDescent="0.3">
      <c r="A379" t="s">
        <v>500</v>
      </c>
      <c r="B379" s="1">
        <v>46104</v>
      </c>
      <c r="C379" s="1">
        <v>46106</v>
      </c>
      <c r="D379" s="1">
        <v>46110</v>
      </c>
      <c r="E379" t="s">
        <v>82</v>
      </c>
      <c r="F379" t="s">
        <v>83</v>
      </c>
      <c r="G379" t="s">
        <v>84</v>
      </c>
      <c r="H379">
        <v>1383</v>
      </c>
      <c r="I379" t="s">
        <v>60</v>
      </c>
      <c r="J379">
        <v>2</v>
      </c>
      <c r="K379">
        <v>12447</v>
      </c>
      <c r="L379">
        <v>9</v>
      </c>
      <c r="M379" t="s">
        <v>153</v>
      </c>
      <c r="N379">
        <v>14</v>
      </c>
      <c r="O379">
        <v>5</v>
      </c>
      <c r="P379" t="s">
        <v>53</v>
      </c>
      <c r="Q379" t="s">
        <v>62</v>
      </c>
      <c r="R379" t="s">
        <v>34</v>
      </c>
      <c r="S379">
        <v>3</v>
      </c>
      <c r="T379">
        <v>4</v>
      </c>
      <c r="U379">
        <v>1</v>
      </c>
      <c r="V379" t="s">
        <v>46</v>
      </c>
      <c r="W379" t="s">
        <v>55</v>
      </c>
      <c r="X379" t="s">
        <v>37</v>
      </c>
      <c r="Y379" t="s">
        <v>38</v>
      </c>
      <c r="Z379">
        <v>3.7</v>
      </c>
      <c r="AA379">
        <f t="shared" si="15"/>
        <v>9</v>
      </c>
      <c r="AB379" t="str">
        <f t="shared" si="16"/>
        <v>Yes</v>
      </c>
      <c r="AC379" t="str">
        <f t="shared" si="17"/>
        <v>Needs Improvement</v>
      </c>
    </row>
    <row r="380" spans="1:29" x14ac:dyDescent="0.3">
      <c r="A380" t="s">
        <v>501</v>
      </c>
      <c r="B380" s="1">
        <v>46097</v>
      </c>
      <c r="C380" s="1">
        <v>46097</v>
      </c>
      <c r="D380" s="1">
        <v>46101</v>
      </c>
      <c r="E380" t="s">
        <v>82</v>
      </c>
      <c r="F380" t="s">
        <v>83</v>
      </c>
      <c r="G380" t="s">
        <v>84</v>
      </c>
      <c r="H380">
        <v>1374</v>
      </c>
      <c r="I380" t="s">
        <v>87</v>
      </c>
      <c r="J380">
        <v>7</v>
      </c>
      <c r="K380">
        <v>8244</v>
      </c>
      <c r="L380">
        <v>5</v>
      </c>
      <c r="M380" t="s">
        <v>116</v>
      </c>
      <c r="N380">
        <v>12</v>
      </c>
      <c r="O380">
        <v>4.5</v>
      </c>
      <c r="P380" t="s">
        <v>32</v>
      </c>
      <c r="Q380" t="s">
        <v>62</v>
      </c>
      <c r="R380" t="s">
        <v>54</v>
      </c>
      <c r="S380">
        <v>3</v>
      </c>
      <c r="T380">
        <v>4</v>
      </c>
      <c r="U380">
        <v>1</v>
      </c>
      <c r="V380" t="s">
        <v>46</v>
      </c>
      <c r="W380" t="s">
        <v>68</v>
      </c>
      <c r="X380" t="s">
        <v>63</v>
      </c>
      <c r="Y380" t="s">
        <v>62</v>
      </c>
      <c r="Z380">
        <v>4</v>
      </c>
      <c r="AA380">
        <f t="shared" si="15"/>
        <v>6</v>
      </c>
      <c r="AB380" t="str">
        <f t="shared" si="16"/>
        <v>Yes</v>
      </c>
      <c r="AC380" t="str">
        <f t="shared" si="17"/>
        <v>Needs Improvement</v>
      </c>
    </row>
    <row r="381" spans="1:29" x14ac:dyDescent="0.3">
      <c r="A381" t="s">
        <v>502</v>
      </c>
      <c r="B381" s="1">
        <v>46033</v>
      </c>
      <c r="C381" s="1">
        <v>46035</v>
      </c>
      <c r="D381" s="1">
        <v>46039</v>
      </c>
      <c r="E381" t="s">
        <v>27</v>
      </c>
      <c r="F381" t="s">
        <v>28</v>
      </c>
      <c r="G381" t="s">
        <v>29</v>
      </c>
      <c r="H381">
        <v>1619</v>
      </c>
      <c r="I381" t="s">
        <v>43</v>
      </c>
      <c r="J381">
        <v>4</v>
      </c>
      <c r="K381">
        <v>11333</v>
      </c>
      <c r="L381">
        <v>7</v>
      </c>
      <c r="M381" t="s">
        <v>99</v>
      </c>
      <c r="N381">
        <v>4</v>
      </c>
      <c r="O381">
        <v>4.3</v>
      </c>
      <c r="P381" t="s">
        <v>32</v>
      </c>
      <c r="Q381" t="s">
        <v>38</v>
      </c>
      <c r="R381" t="s">
        <v>34</v>
      </c>
      <c r="S381">
        <v>3</v>
      </c>
      <c r="T381">
        <v>4</v>
      </c>
      <c r="U381">
        <v>1</v>
      </c>
      <c r="V381" t="s">
        <v>46</v>
      </c>
      <c r="W381" t="s">
        <v>36</v>
      </c>
      <c r="X381" t="s">
        <v>95</v>
      </c>
      <c r="Y381" t="s">
        <v>33</v>
      </c>
      <c r="Z381">
        <v>4.5</v>
      </c>
      <c r="AA381">
        <f t="shared" si="15"/>
        <v>7</v>
      </c>
      <c r="AB381" t="str">
        <f t="shared" si="16"/>
        <v>Yes</v>
      </c>
      <c r="AC381" t="str">
        <f t="shared" si="17"/>
        <v>Needs Improvement</v>
      </c>
    </row>
    <row r="382" spans="1:29" x14ac:dyDescent="0.3">
      <c r="A382" t="s">
        <v>503</v>
      </c>
      <c r="B382" s="1">
        <v>46026</v>
      </c>
      <c r="C382" s="1">
        <v>46027</v>
      </c>
      <c r="D382" s="1">
        <v>46032</v>
      </c>
      <c r="E382" t="s">
        <v>92</v>
      </c>
      <c r="F382" t="s">
        <v>93</v>
      </c>
      <c r="G382" t="s">
        <v>94</v>
      </c>
      <c r="H382">
        <v>1780</v>
      </c>
      <c r="I382" t="s">
        <v>60</v>
      </c>
      <c r="J382">
        <v>7</v>
      </c>
      <c r="K382">
        <v>12460</v>
      </c>
      <c r="L382">
        <v>7</v>
      </c>
      <c r="M382" t="s">
        <v>222</v>
      </c>
      <c r="N382">
        <v>8</v>
      </c>
      <c r="O382">
        <v>4.4000000000000004</v>
      </c>
      <c r="P382" t="s">
        <v>32</v>
      </c>
      <c r="Q382" t="s">
        <v>33</v>
      </c>
      <c r="R382" t="s">
        <v>67</v>
      </c>
      <c r="S382">
        <v>3</v>
      </c>
      <c r="T382">
        <v>5</v>
      </c>
      <c r="U382">
        <v>2</v>
      </c>
      <c r="V382" t="s">
        <v>46</v>
      </c>
      <c r="W382" t="s">
        <v>55</v>
      </c>
      <c r="X382" t="s">
        <v>63</v>
      </c>
      <c r="Y382" t="s">
        <v>62</v>
      </c>
      <c r="Z382">
        <v>3.9</v>
      </c>
      <c r="AA382">
        <f t="shared" si="15"/>
        <v>7</v>
      </c>
      <c r="AB382" t="str">
        <f t="shared" si="16"/>
        <v>Yes</v>
      </c>
      <c r="AC382" t="str">
        <f t="shared" si="17"/>
        <v>Needs Improvement</v>
      </c>
    </row>
    <row r="383" spans="1:29" x14ac:dyDescent="0.3">
      <c r="A383" t="s">
        <v>504</v>
      </c>
      <c r="B383" s="1">
        <v>46057</v>
      </c>
      <c r="C383" s="1">
        <v>46059</v>
      </c>
      <c r="D383" s="1">
        <v>46064</v>
      </c>
      <c r="E383" t="s">
        <v>40</v>
      </c>
      <c r="F383" t="s">
        <v>41</v>
      </c>
      <c r="G383" t="s">
        <v>42</v>
      </c>
      <c r="H383">
        <v>1602</v>
      </c>
      <c r="I383" t="s">
        <v>87</v>
      </c>
      <c r="J383">
        <v>10</v>
      </c>
      <c r="K383">
        <v>12816</v>
      </c>
      <c r="L383">
        <v>10</v>
      </c>
      <c r="M383" t="s">
        <v>208</v>
      </c>
      <c r="N383">
        <v>9</v>
      </c>
      <c r="O383">
        <v>4.9000000000000004</v>
      </c>
      <c r="P383" t="s">
        <v>66</v>
      </c>
      <c r="Q383" t="s">
        <v>38</v>
      </c>
      <c r="R383" t="s">
        <v>67</v>
      </c>
      <c r="S383">
        <v>3</v>
      </c>
      <c r="T383">
        <v>5</v>
      </c>
      <c r="U383">
        <v>2</v>
      </c>
      <c r="V383" t="s">
        <v>46</v>
      </c>
      <c r="W383" t="s">
        <v>68</v>
      </c>
      <c r="X383" t="s">
        <v>76</v>
      </c>
      <c r="Y383" t="s">
        <v>38</v>
      </c>
      <c r="Z383">
        <v>3.7</v>
      </c>
      <c r="AA383">
        <f t="shared" si="15"/>
        <v>8</v>
      </c>
      <c r="AB383" t="str">
        <f t="shared" si="16"/>
        <v>Yes</v>
      </c>
      <c r="AC383" t="str">
        <f t="shared" si="17"/>
        <v>Needs Improvement</v>
      </c>
    </row>
    <row r="384" spans="1:29" x14ac:dyDescent="0.3">
      <c r="A384" t="s">
        <v>505</v>
      </c>
      <c r="B384" s="1">
        <v>46045</v>
      </c>
      <c r="C384" s="1">
        <v>46047</v>
      </c>
      <c r="D384" s="1">
        <v>46051</v>
      </c>
      <c r="E384" t="s">
        <v>72</v>
      </c>
      <c r="F384" t="s">
        <v>73</v>
      </c>
      <c r="G384" t="s">
        <v>74</v>
      </c>
      <c r="H384">
        <v>1348</v>
      </c>
      <c r="I384" t="s">
        <v>60</v>
      </c>
      <c r="J384">
        <v>3</v>
      </c>
      <c r="K384">
        <v>10784</v>
      </c>
      <c r="L384">
        <v>6</v>
      </c>
      <c r="M384" t="s">
        <v>52</v>
      </c>
      <c r="N384">
        <v>2</v>
      </c>
      <c r="O384">
        <v>4.3</v>
      </c>
      <c r="P384" t="s">
        <v>45</v>
      </c>
      <c r="Q384" t="s">
        <v>33</v>
      </c>
      <c r="R384" t="s">
        <v>67</v>
      </c>
      <c r="S384">
        <v>2</v>
      </c>
      <c r="T384">
        <v>4</v>
      </c>
      <c r="U384">
        <v>2</v>
      </c>
      <c r="V384" t="s">
        <v>46</v>
      </c>
      <c r="W384" t="s">
        <v>55</v>
      </c>
      <c r="X384" t="s">
        <v>95</v>
      </c>
      <c r="Y384" t="s">
        <v>62</v>
      </c>
      <c r="Z384">
        <v>3.1</v>
      </c>
      <c r="AA384">
        <f t="shared" si="15"/>
        <v>8</v>
      </c>
      <c r="AB384" t="str">
        <f t="shared" si="16"/>
        <v>Yes</v>
      </c>
      <c r="AC384" t="str">
        <f t="shared" si="17"/>
        <v>Needs Improvement</v>
      </c>
    </row>
    <row r="385" spans="1:29" x14ac:dyDescent="0.3">
      <c r="A385" t="s">
        <v>506</v>
      </c>
      <c r="B385" s="1">
        <v>46070</v>
      </c>
      <c r="C385" s="1">
        <v>46071</v>
      </c>
      <c r="D385" s="1">
        <v>46073</v>
      </c>
      <c r="E385" t="s">
        <v>92</v>
      </c>
      <c r="F385" t="s">
        <v>93</v>
      </c>
      <c r="G385" t="s">
        <v>94</v>
      </c>
      <c r="H385">
        <v>1195</v>
      </c>
      <c r="I385" t="s">
        <v>87</v>
      </c>
      <c r="J385">
        <v>8</v>
      </c>
      <c r="K385">
        <v>13145</v>
      </c>
      <c r="L385">
        <v>9</v>
      </c>
      <c r="M385" t="s">
        <v>123</v>
      </c>
      <c r="N385">
        <v>14</v>
      </c>
      <c r="O385">
        <v>4.0999999999999996</v>
      </c>
      <c r="P385" t="s">
        <v>66</v>
      </c>
      <c r="Q385" t="s">
        <v>62</v>
      </c>
      <c r="R385" t="s">
        <v>54</v>
      </c>
      <c r="S385">
        <v>2</v>
      </c>
      <c r="T385">
        <v>2</v>
      </c>
      <c r="U385">
        <v>0</v>
      </c>
      <c r="V385" t="s">
        <v>35</v>
      </c>
      <c r="W385" t="s">
        <v>36</v>
      </c>
      <c r="X385" t="s">
        <v>95</v>
      </c>
      <c r="Y385" t="s">
        <v>38</v>
      </c>
      <c r="Z385">
        <v>3.2</v>
      </c>
      <c r="AA385">
        <f t="shared" si="15"/>
        <v>11</v>
      </c>
      <c r="AB385" t="str">
        <f t="shared" si="16"/>
        <v>No</v>
      </c>
      <c r="AC385" t="str">
        <f t="shared" si="17"/>
        <v>Efficient</v>
      </c>
    </row>
    <row r="386" spans="1:29" x14ac:dyDescent="0.3">
      <c r="A386" t="s">
        <v>507</v>
      </c>
      <c r="B386" s="1">
        <v>46137</v>
      </c>
      <c r="C386" s="1">
        <v>46137</v>
      </c>
      <c r="D386" s="1">
        <v>46141</v>
      </c>
      <c r="E386" t="s">
        <v>57</v>
      </c>
      <c r="F386" t="s">
        <v>58</v>
      </c>
      <c r="G386" t="s">
        <v>59</v>
      </c>
      <c r="H386">
        <v>357</v>
      </c>
      <c r="I386" t="s">
        <v>87</v>
      </c>
      <c r="J386">
        <v>3</v>
      </c>
      <c r="K386">
        <v>2856</v>
      </c>
      <c r="L386">
        <v>5</v>
      </c>
      <c r="M386" t="s">
        <v>65</v>
      </c>
      <c r="N386">
        <v>3</v>
      </c>
      <c r="O386">
        <v>4</v>
      </c>
      <c r="P386" t="s">
        <v>45</v>
      </c>
      <c r="Q386" t="s">
        <v>33</v>
      </c>
      <c r="R386" t="s">
        <v>54</v>
      </c>
      <c r="S386">
        <v>1</v>
      </c>
      <c r="T386">
        <v>4</v>
      </c>
      <c r="U386">
        <v>3</v>
      </c>
      <c r="V386" t="s">
        <v>46</v>
      </c>
      <c r="W386" t="s">
        <v>55</v>
      </c>
      <c r="X386" t="s">
        <v>76</v>
      </c>
      <c r="Y386" t="s">
        <v>38</v>
      </c>
      <c r="Z386">
        <v>3.9</v>
      </c>
      <c r="AA386">
        <f t="shared" si="15"/>
        <v>8</v>
      </c>
      <c r="AB386" t="str">
        <f t="shared" si="16"/>
        <v>Yes</v>
      </c>
      <c r="AC386" t="str">
        <f t="shared" si="17"/>
        <v>Needs Improvement</v>
      </c>
    </row>
    <row r="387" spans="1:29" x14ac:dyDescent="0.3">
      <c r="A387" t="s">
        <v>508</v>
      </c>
      <c r="B387" s="1">
        <v>46076</v>
      </c>
      <c r="C387" s="1">
        <v>46077</v>
      </c>
      <c r="D387" s="1">
        <v>46082</v>
      </c>
      <c r="E387" t="s">
        <v>27</v>
      </c>
      <c r="F387" t="s">
        <v>28</v>
      </c>
      <c r="G387" t="s">
        <v>29</v>
      </c>
      <c r="H387">
        <v>797</v>
      </c>
      <c r="I387" t="s">
        <v>60</v>
      </c>
      <c r="J387">
        <v>2</v>
      </c>
      <c r="K387">
        <v>4782</v>
      </c>
      <c r="L387">
        <v>6</v>
      </c>
      <c r="M387" t="s">
        <v>85</v>
      </c>
      <c r="N387">
        <v>11</v>
      </c>
      <c r="O387">
        <v>3.7</v>
      </c>
      <c r="P387" t="s">
        <v>66</v>
      </c>
      <c r="Q387" t="s">
        <v>33</v>
      </c>
      <c r="R387" t="s">
        <v>54</v>
      </c>
      <c r="S387">
        <v>1</v>
      </c>
      <c r="T387">
        <v>5</v>
      </c>
      <c r="U387">
        <v>4</v>
      </c>
      <c r="V387" t="s">
        <v>46</v>
      </c>
      <c r="W387" t="s">
        <v>55</v>
      </c>
      <c r="X387" t="s">
        <v>76</v>
      </c>
      <c r="Y387" t="s">
        <v>33</v>
      </c>
      <c r="Z387">
        <v>3.9</v>
      </c>
      <c r="AA387">
        <f t="shared" ref="AA387:AA450" si="18">(K387/H387)</f>
        <v>6</v>
      </c>
      <c r="AB387" t="str">
        <f t="shared" ref="AB387:AB450" si="19">IF(U387&gt;0,"Yes","No")</f>
        <v>Yes</v>
      </c>
      <c r="AC387" t="str">
        <f t="shared" ref="AC387:AC450" si="20">IF(U387=0,"Efficient","Needs Improvement")</f>
        <v>Needs Improvement</v>
      </c>
    </row>
    <row r="388" spans="1:29" x14ac:dyDescent="0.3">
      <c r="A388" t="s">
        <v>509</v>
      </c>
      <c r="B388" s="1">
        <v>46061</v>
      </c>
      <c r="C388" s="1">
        <v>46063</v>
      </c>
      <c r="D388" s="1">
        <v>46065</v>
      </c>
      <c r="E388" t="s">
        <v>82</v>
      </c>
      <c r="F388" t="s">
        <v>83</v>
      </c>
      <c r="G388" t="s">
        <v>84</v>
      </c>
      <c r="H388">
        <v>827</v>
      </c>
      <c r="I388" t="s">
        <v>60</v>
      </c>
      <c r="J388">
        <v>5</v>
      </c>
      <c r="K388">
        <v>5789</v>
      </c>
      <c r="L388">
        <v>8</v>
      </c>
      <c r="M388" t="s">
        <v>80</v>
      </c>
      <c r="N388">
        <v>5</v>
      </c>
      <c r="O388">
        <v>4.5</v>
      </c>
      <c r="P388" t="s">
        <v>32</v>
      </c>
      <c r="Q388" t="s">
        <v>38</v>
      </c>
      <c r="R388" t="s">
        <v>34</v>
      </c>
      <c r="S388">
        <v>1</v>
      </c>
      <c r="T388">
        <v>2</v>
      </c>
      <c r="U388">
        <v>1</v>
      </c>
      <c r="V388" t="s">
        <v>46</v>
      </c>
      <c r="W388" t="s">
        <v>68</v>
      </c>
      <c r="X388" t="s">
        <v>37</v>
      </c>
      <c r="Y388" t="s">
        <v>33</v>
      </c>
      <c r="Z388">
        <v>4.8</v>
      </c>
      <c r="AA388">
        <f t="shared" si="18"/>
        <v>7</v>
      </c>
      <c r="AB388" t="str">
        <f t="shared" si="19"/>
        <v>Yes</v>
      </c>
      <c r="AC388" t="str">
        <f t="shared" si="20"/>
        <v>Needs Improvement</v>
      </c>
    </row>
    <row r="389" spans="1:29" x14ac:dyDescent="0.3">
      <c r="A389" t="s">
        <v>510</v>
      </c>
      <c r="B389" s="1">
        <v>46114</v>
      </c>
      <c r="C389" s="1">
        <v>46116</v>
      </c>
      <c r="D389" s="1">
        <v>46117</v>
      </c>
      <c r="E389" t="s">
        <v>57</v>
      </c>
      <c r="F389" t="s">
        <v>58</v>
      </c>
      <c r="G389" t="s">
        <v>59</v>
      </c>
      <c r="H389">
        <v>573</v>
      </c>
      <c r="I389" t="s">
        <v>60</v>
      </c>
      <c r="J389">
        <v>3</v>
      </c>
      <c r="K389">
        <v>4011</v>
      </c>
      <c r="L389">
        <v>6</v>
      </c>
      <c r="M389" t="s">
        <v>118</v>
      </c>
      <c r="N389">
        <v>1</v>
      </c>
      <c r="O389">
        <v>5</v>
      </c>
      <c r="P389" t="s">
        <v>45</v>
      </c>
      <c r="Q389" t="s">
        <v>62</v>
      </c>
      <c r="R389" t="s">
        <v>34</v>
      </c>
      <c r="S389">
        <v>1</v>
      </c>
      <c r="T389">
        <v>1</v>
      </c>
      <c r="U389">
        <v>0</v>
      </c>
      <c r="V389" t="s">
        <v>35</v>
      </c>
      <c r="W389" t="s">
        <v>36</v>
      </c>
      <c r="X389" t="s">
        <v>76</v>
      </c>
      <c r="Y389" t="s">
        <v>33</v>
      </c>
      <c r="Z389">
        <v>3.1</v>
      </c>
      <c r="AA389">
        <f t="shared" si="18"/>
        <v>7</v>
      </c>
      <c r="AB389" t="str">
        <f t="shared" si="19"/>
        <v>No</v>
      </c>
      <c r="AC389" t="str">
        <f t="shared" si="20"/>
        <v>Efficient</v>
      </c>
    </row>
    <row r="390" spans="1:29" x14ac:dyDescent="0.3">
      <c r="A390" t="s">
        <v>511</v>
      </c>
      <c r="B390" s="1">
        <v>46063</v>
      </c>
      <c r="C390" s="1">
        <v>46064</v>
      </c>
      <c r="D390" s="1">
        <v>46068</v>
      </c>
      <c r="E390" t="s">
        <v>82</v>
      </c>
      <c r="F390" t="s">
        <v>83</v>
      </c>
      <c r="G390" t="s">
        <v>84</v>
      </c>
      <c r="H390">
        <v>963</v>
      </c>
      <c r="I390" t="s">
        <v>43</v>
      </c>
      <c r="J390">
        <v>9</v>
      </c>
      <c r="K390">
        <v>6741</v>
      </c>
      <c r="L390">
        <v>9</v>
      </c>
      <c r="M390" t="s">
        <v>131</v>
      </c>
      <c r="N390">
        <v>2</v>
      </c>
      <c r="O390">
        <v>4.8</v>
      </c>
      <c r="P390" t="s">
        <v>53</v>
      </c>
      <c r="Q390" t="s">
        <v>62</v>
      </c>
      <c r="R390" t="s">
        <v>67</v>
      </c>
      <c r="S390">
        <v>2</v>
      </c>
      <c r="T390">
        <v>4</v>
      </c>
      <c r="U390">
        <v>2</v>
      </c>
      <c r="V390" t="s">
        <v>46</v>
      </c>
      <c r="W390" t="s">
        <v>36</v>
      </c>
      <c r="X390" t="s">
        <v>63</v>
      </c>
      <c r="Y390" t="s">
        <v>33</v>
      </c>
      <c r="Z390">
        <v>4.0999999999999996</v>
      </c>
      <c r="AA390">
        <f t="shared" si="18"/>
        <v>7</v>
      </c>
      <c r="AB390" t="str">
        <f t="shared" si="19"/>
        <v>Yes</v>
      </c>
      <c r="AC390" t="str">
        <f t="shared" si="20"/>
        <v>Needs Improvement</v>
      </c>
    </row>
    <row r="391" spans="1:29" x14ac:dyDescent="0.3">
      <c r="A391" t="s">
        <v>512</v>
      </c>
      <c r="B391" s="1">
        <v>46087</v>
      </c>
      <c r="C391" s="1">
        <v>46088</v>
      </c>
      <c r="D391" s="1">
        <v>46093</v>
      </c>
      <c r="E391" t="s">
        <v>57</v>
      </c>
      <c r="F391" t="s">
        <v>58</v>
      </c>
      <c r="G391" t="s">
        <v>59</v>
      </c>
      <c r="H391">
        <v>1170</v>
      </c>
      <c r="I391" t="s">
        <v>30</v>
      </c>
      <c r="J391">
        <v>10</v>
      </c>
      <c r="K391">
        <v>12870</v>
      </c>
      <c r="L391">
        <v>6</v>
      </c>
      <c r="M391" t="s">
        <v>105</v>
      </c>
      <c r="N391">
        <v>12</v>
      </c>
      <c r="O391">
        <v>4.8</v>
      </c>
      <c r="P391" t="s">
        <v>53</v>
      </c>
      <c r="Q391" t="s">
        <v>62</v>
      </c>
      <c r="R391" t="s">
        <v>54</v>
      </c>
      <c r="S391">
        <v>2</v>
      </c>
      <c r="T391">
        <v>5</v>
      </c>
      <c r="U391">
        <v>3</v>
      </c>
      <c r="V391" t="s">
        <v>46</v>
      </c>
      <c r="W391" t="s">
        <v>36</v>
      </c>
      <c r="X391" t="s">
        <v>37</v>
      </c>
      <c r="Y391" t="s">
        <v>33</v>
      </c>
      <c r="Z391">
        <v>4.0999999999999996</v>
      </c>
      <c r="AA391">
        <f t="shared" si="18"/>
        <v>11</v>
      </c>
      <c r="AB391" t="str">
        <f t="shared" si="19"/>
        <v>Yes</v>
      </c>
      <c r="AC391" t="str">
        <f t="shared" si="20"/>
        <v>Needs Improvement</v>
      </c>
    </row>
    <row r="392" spans="1:29" x14ac:dyDescent="0.3">
      <c r="A392" t="s">
        <v>513</v>
      </c>
      <c r="B392" s="1">
        <v>46062</v>
      </c>
      <c r="C392" s="1">
        <v>46062</v>
      </c>
      <c r="D392" s="1">
        <v>46066</v>
      </c>
      <c r="E392" t="s">
        <v>111</v>
      </c>
      <c r="F392" t="s">
        <v>27</v>
      </c>
      <c r="G392" t="s">
        <v>112</v>
      </c>
      <c r="H392">
        <v>1464</v>
      </c>
      <c r="I392" t="s">
        <v>60</v>
      </c>
      <c r="J392">
        <v>8</v>
      </c>
      <c r="K392">
        <v>11712</v>
      </c>
      <c r="L392">
        <v>5</v>
      </c>
      <c r="M392" t="s">
        <v>226</v>
      </c>
      <c r="N392">
        <v>1</v>
      </c>
      <c r="O392">
        <v>4.2</v>
      </c>
      <c r="P392" t="s">
        <v>45</v>
      </c>
      <c r="Q392" t="s">
        <v>33</v>
      </c>
      <c r="R392" t="s">
        <v>54</v>
      </c>
      <c r="S392">
        <v>3</v>
      </c>
      <c r="T392">
        <v>4</v>
      </c>
      <c r="U392">
        <v>1</v>
      </c>
      <c r="V392" t="s">
        <v>46</v>
      </c>
      <c r="W392" t="s">
        <v>36</v>
      </c>
      <c r="X392" t="s">
        <v>63</v>
      </c>
      <c r="Y392" t="s">
        <v>33</v>
      </c>
      <c r="Z392">
        <v>4.7</v>
      </c>
      <c r="AA392">
        <f t="shared" si="18"/>
        <v>8</v>
      </c>
      <c r="AB392" t="str">
        <f t="shared" si="19"/>
        <v>Yes</v>
      </c>
      <c r="AC392" t="str">
        <f t="shared" si="20"/>
        <v>Needs Improvement</v>
      </c>
    </row>
    <row r="393" spans="1:29" x14ac:dyDescent="0.3">
      <c r="A393" t="s">
        <v>514</v>
      </c>
      <c r="B393" s="1">
        <v>46109</v>
      </c>
      <c r="C393" s="1">
        <v>46111</v>
      </c>
      <c r="D393" s="1">
        <v>46114</v>
      </c>
      <c r="E393" t="s">
        <v>72</v>
      </c>
      <c r="F393" t="s">
        <v>73</v>
      </c>
      <c r="G393" t="s">
        <v>74</v>
      </c>
      <c r="H393">
        <v>1248</v>
      </c>
      <c r="I393" t="s">
        <v>43</v>
      </c>
      <c r="J393">
        <v>4</v>
      </c>
      <c r="K393">
        <v>11232</v>
      </c>
      <c r="L393">
        <v>7</v>
      </c>
      <c r="M393" t="s">
        <v>269</v>
      </c>
      <c r="N393">
        <v>10</v>
      </c>
      <c r="O393">
        <v>4</v>
      </c>
      <c r="P393" t="s">
        <v>32</v>
      </c>
      <c r="Q393" t="s">
        <v>33</v>
      </c>
      <c r="R393" t="s">
        <v>34</v>
      </c>
      <c r="S393">
        <v>2</v>
      </c>
      <c r="T393">
        <v>3</v>
      </c>
      <c r="U393">
        <v>1</v>
      </c>
      <c r="V393" t="s">
        <v>46</v>
      </c>
      <c r="W393" t="s">
        <v>55</v>
      </c>
      <c r="X393" t="s">
        <v>95</v>
      </c>
      <c r="Y393" t="s">
        <v>62</v>
      </c>
      <c r="Z393">
        <v>3.8</v>
      </c>
      <c r="AA393">
        <f t="shared" si="18"/>
        <v>9</v>
      </c>
      <c r="AB393" t="str">
        <f t="shared" si="19"/>
        <v>Yes</v>
      </c>
      <c r="AC393" t="str">
        <f t="shared" si="20"/>
        <v>Needs Improvement</v>
      </c>
    </row>
    <row r="394" spans="1:29" x14ac:dyDescent="0.3">
      <c r="A394" t="s">
        <v>515</v>
      </c>
      <c r="B394" s="1">
        <v>46024</v>
      </c>
      <c r="C394" s="1">
        <v>46025</v>
      </c>
      <c r="D394" s="1">
        <v>46028</v>
      </c>
      <c r="E394" t="s">
        <v>49</v>
      </c>
      <c r="F394" t="s">
        <v>50</v>
      </c>
      <c r="G394" t="s">
        <v>51</v>
      </c>
      <c r="H394">
        <v>919</v>
      </c>
      <c r="I394" t="s">
        <v>30</v>
      </c>
      <c r="J394">
        <v>8</v>
      </c>
      <c r="K394">
        <v>11028</v>
      </c>
      <c r="L394">
        <v>9</v>
      </c>
      <c r="M394" t="s">
        <v>109</v>
      </c>
      <c r="N394">
        <v>4</v>
      </c>
      <c r="O394">
        <v>4.5</v>
      </c>
      <c r="P394" t="s">
        <v>53</v>
      </c>
      <c r="Q394" t="s">
        <v>33</v>
      </c>
      <c r="R394" t="s">
        <v>34</v>
      </c>
      <c r="S394">
        <v>2</v>
      </c>
      <c r="T394">
        <v>3</v>
      </c>
      <c r="U394">
        <v>1</v>
      </c>
      <c r="V394" t="s">
        <v>46</v>
      </c>
      <c r="W394" t="s">
        <v>55</v>
      </c>
      <c r="X394" t="s">
        <v>95</v>
      </c>
      <c r="Y394" t="s">
        <v>33</v>
      </c>
      <c r="Z394">
        <v>4.8</v>
      </c>
      <c r="AA394">
        <f t="shared" si="18"/>
        <v>12</v>
      </c>
      <c r="AB394" t="str">
        <f t="shared" si="19"/>
        <v>Yes</v>
      </c>
      <c r="AC394" t="str">
        <f t="shared" si="20"/>
        <v>Needs Improvement</v>
      </c>
    </row>
    <row r="395" spans="1:29" x14ac:dyDescent="0.3">
      <c r="A395" t="s">
        <v>516</v>
      </c>
      <c r="B395" s="1">
        <v>46040</v>
      </c>
      <c r="C395" s="1">
        <v>46042</v>
      </c>
      <c r="D395" s="1">
        <v>46045</v>
      </c>
      <c r="E395" t="s">
        <v>72</v>
      </c>
      <c r="F395" t="s">
        <v>73</v>
      </c>
      <c r="G395" t="s">
        <v>74</v>
      </c>
      <c r="H395">
        <v>494</v>
      </c>
      <c r="I395" t="s">
        <v>60</v>
      </c>
      <c r="J395">
        <v>5</v>
      </c>
      <c r="K395">
        <v>4446</v>
      </c>
      <c r="L395">
        <v>9</v>
      </c>
      <c r="M395" t="s">
        <v>143</v>
      </c>
      <c r="N395">
        <v>2</v>
      </c>
      <c r="O395">
        <v>4.9000000000000004</v>
      </c>
      <c r="P395" t="s">
        <v>53</v>
      </c>
      <c r="Q395" t="s">
        <v>38</v>
      </c>
      <c r="R395" t="s">
        <v>67</v>
      </c>
      <c r="S395">
        <v>1</v>
      </c>
      <c r="T395">
        <v>3</v>
      </c>
      <c r="U395">
        <v>2</v>
      </c>
      <c r="V395" t="s">
        <v>46</v>
      </c>
      <c r="W395" t="s">
        <v>68</v>
      </c>
      <c r="X395" t="s">
        <v>95</v>
      </c>
      <c r="Y395" t="s">
        <v>38</v>
      </c>
      <c r="Z395">
        <v>4.0999999999999996</v>
      </c>
      <c r="AA395">
        <f t="shared" si="18"/>
        <v>9</v>
      </c>
      <c r="AB395" t="str">
        <f t="shared" si="19"/>
        <v>Yes</v>
      </c>
      <c r="AC395" t="str">
        <f t="shared" si="20"/>
        <v>Needs Improvement</v>
      </c>
    </row>
    <row r="396" spans="1:29" x14ac:dyDescent="0.3">
      <c r="A396" t="s">
        <v>517</v>
      </c>
      <c r="B396" s="1">
        <v>46113</v>
      </c>
      <c r="C396" s="1">
        <v>46115</v>
      </c>
      <c r="D396" s="1">
        <v>46121</v>
      </c>
      <c r="E396" t="s">
        <v>82</v>
      </c>
      <c r="F396" t="s">
        <v>83</v>
      </c>
      <c r="G396" t="s">
        <v>84</v>
      </c>
      <c r="H396">
        <v>608</v>
      </c>
      <c r="I396" t="s">
        <v>60</v>
      </c>
      <c r="J396">
        <v>7</v>
      </c>
      <c r="K396">
        <v>4864</v>
      </c>
      <c r="L396">
        <v>9</v>
      </c>
      <c r="M396" t="s">
        <v>153</v>
      </c>
      <c r="N396">
        <v>1</v>
      </c>
      <c r="O396">
        <v>4.5999999999999996</v>
      </c>
      <c r="P396" t="s">
        <v>66</v>
      </c>
      <c r="Q396" t="s">
        <v>33</v>
      </c>
      <c r="R396" t="s">
        <v>34</v>
      </c>
      <c r="S396">
        <v>1</v>
      </c>
      <c r="T396">
        <v>6</v>
      </c>
      <c r="U396">
        <v>5</v>
      </c>
      <c r="V396" t="s">
        <v>46</v>
      </c>
      <c r="W396" t="s">
        <v>68</v>
      </c>
      <c r="X396" t="s">
        <v>37</v>
      </c>
      <c r="Y396" t="s">
        <v>38</v>
      </c>
      <c r="Z396">
        <v>4.5999999999999996</v>
      </c>
      <c r="AA396">
        <f t="shared" si="18"/>
        <v>8</v>
      </c>
      <c r="AB396" t="str">
        <f t="shared" si="19"/>
        <v>Yes</v>
      </c>
      <c r="AC396" t="str">
        <f t="shared" si="20"/>
        <v>Needs Improvement</v>
      </c>
    </row>
    <row r="397" spans="1:29" x14ac:dyDescent="0.3">
      <c r="A397" t="s">
        <v>518</v>
      </c>
      <c r="B397" s="1">
        <v>46042</v>
      </c>
      <c r="C397" s="1">
        <v>46043</v>
      </c>
      <c r="D397" s="1">
        <v>46047</v>
      </c>
      <c r="E397" t="s">
        <v>57</v>
      </c>
      <c r="F397" t="s">
        <v>58</v>
      </c>
      <c r="G397" t="s">
        <v>59</v>
      </c>
      <c r="H397">
        <v>1511</v>
      </c>
      <c r="I397" t="s">
        <v>43</v>
      </c>
      <c r="J397">
        <v>2</v>
      </c>
      <c r="K397">
        <v>16621</v>
      </c>
      <c r="L397">
        <v>10</v>
      </c>
      <c r="M397" t="s">
        <v>99</v>
      </c>
      <c r="N397">
        <v>7</v>
      </c>
      <c r="O397">
        <v>3.4</v>
      </c>
      <c r="P397" t="s">
        <v>45</v>
      </c>
      <c r="Q397" t="s">
        <v>38</v>
      </c>
      <c r="R397" t="s">
        <v>67</v>
      </c>
      <c r="S397">
        <v>3</v>
      </c>
      <c r="T397">
        <v>4</v>
      </c>
      <c r="U397">
        <v>1</v>
      </c>
      <c r="V397" t="s">
        <v>46</v>
      </c>
      <c r="W397" t="s">
        <v>36</v>
      </c>
      <c r="X397" t="s">
        <v>76</v>
      </c>
      <c r="Y397" t="s">
        <v>33</v>
      </c>
      <c r="Z397">
        <v>3.7</v>
      </c>
      <c r="AA397">
        <f t="shared" si="18"/>
        <v>11</v>
      </c>
      <c r="AB397" t="str">
        <f t="shared" si="19"/>
        <v>Yes</v>
      </c>
      <c r="AC397" t="str">
        <f t="shared" si="20"/>
        <v>Needs Improvement</v>
      </c>
    </row>
    <row r="398" spans="1:29" x14ac:dyDescent="0.3">
      <c r="A398" t="s">
        <v>519</v>
      </c>
      <c r="B398" s="1">
        <v>46084</v>
      </c>
      <c r="C398" s="1">
        <v>46086</v>
      </c>
      <c r="D398" s="1">
        <v>46087</v>
      </c>
      <c r="E398" t="s">
        <v>111</v>
      </c>
      <c r="F398" t="s">
        <v>27</v>
      </c>
      <c r="G398" t="s">
        <v>112</v>
      </c>
      <c r="H398">
        <v>728</v>
      </c>
      <c r="I398" t="s">
        <v>43</v>
      </c>
      <c r="J398">
        <v>2</v>
      </c>
      <c r="K398">
        <v>5824</v>
      </c>
      <c r="L398">
        <v>9</v>
      </c>
      <c r="M398" t="s">
        <v>78</v>
      </c>
      <c r="N398">
        <v>10</v>
      </c>
      <c r="O398">
        <v>3</v>
      </c>
      <c r="P398" t="s">
        <v>66</v>
      </c>
      <c r="Q398" t="s">
        <v>38</v>
      </c>
      <c r="R398" t="s">
        <v>54</v>
      </c>
      <c r="S398">
        <v>1</v>
      </c>
      <c r="T398">
        <v>1</v>
      </c>
      <c r="U398">
        <v>0</v>
      </c>
      <c r="V398" t="s">
        <v>35</v>
      </c>
      <c r="W398" t="s">
        <v>68</v>
      </c>
      <c r="X398" t="s">
        <v>95</v>
      </c>
      <c r="Y398" t="s">
        <v>33</v>
      </c>
      <c r="Z398">
        <v>3.3</v>
      </c>
      <c r="AA398">
        <f t="shared" si="18"/>
        <v>8</v>
      </c>
      <c r="AB398" t="str">
        <f t="shared" si="19"/>
        <v>No</v>
      </c>
      <c r="AC398" t="str">
        <f t="shared" si="20"/>
        <v>Efficient</v>
      </c>
    </row>
    <row r="399" spans="1:29" x14ac:dyDescent="0.3">
      <c r="A399" t="s">
        <v>520</v>
      </c>
      <c r="B399" s="1">
        <v>46043</v>
      </c>
      <c r="C399" s="1">
        <v>46043</v>
      </c>
      <c r="D399" s="1">
        <v>46045</v>
      </c>
      <c r="E399" t="s">
        <v>57</v>
      </c>
      <c r="F399" t="s">
        <v>58</v>
      </c>
      <c r="G399" t="s">
        <v>59</v>
      </c>
      <c r="H399">
        <v>939</v>
      </c>
      <c r="I399" t="s">
        <v>43</v>
      </c>
      <c r="J399">
        <v>6</v>
      </c>
      <c r="K399">
        <v>5634</v>
      </c>
      <c r="L399">
        <v>7</v>
      </c>
      <c r="M399" t="s">
        <v>99</v>
      </c>
      <c r="N399">
        <v>9</v>
      </c>
      <c r="O399">
        <v>4.3</v>
      </c>
      <c r="P399" t="s">
        <v>32</v>
      </c>
      <c r="Q399" t="s">
        <v>33</v>
      </c>
      <c r="R399" t="s">
        <v>67</v>
      </c>
      <c r="S399">
        <v>2</v>
      </c>
      <c r="T399">
        <v>2</v>
      </c>
      <c r="U399">
        <v>0</v>
      </c>
      <c r="V399" t="s">
        <v>35</v>
      </c>
      <c r="W399" t="s">
        <v>55</v>
      </c>
      <c r="X399" t="s">
        <v>37</v>
      </c>
      <c r="Y399" t="s">
        <v>33</v>
      </c>
      <c r="Z399">
        <v>3.6</v>
      </c>
      <c r="AA399">
        <f t="shared" si="18"/>
        <v>6</v>
      </c>
      <c r="AB399" t="str">
        <f t="shared" si="19"/>
        <v>No</v>
      </c>
      <c r="AC399" t="str">
        <f t="shared" si="20"/>
        <v>Efficient</v>
      </c>
    </row>
    <row r="400" spans="1:29" x14ac:dyDescent="0.3">
      <c r="A400" t="s">
        <v>521</v>
      </c>
      <c r="B400" s="1">
        <v>46063</v>
      </c>
      <c r="C400" s="1">
        <v>46065</v>
      </c>
      <c r="D400" s="1">
        <v>46069</v>
      </c>
      <c r="E400" t="s">
        <v>57</v>
      </c>
      <c r="F400" t="s">
        <v>58</v>
      </c>
      <c r="G400" t="s">
        <v>59</v>
      </c>
      <c r="H400">
        <v>755</v>
      </c>
      <c r="I400" t="s">
        <v>30</v>
      </c>
      <c r="J400">
        <v>2</v>
      </c>
      <c r="K400">
        <v>7550</v>
      </c>
      <c r="L400">
        <v>9</v>
      </c>
      <c r="M400" t="s">
        <v>178</v>
      </c>
      <c r="N400">
        <v>14</v>
      </c>
      <c r="O400">
        <v>3.3</v>
      </c>
      <c r="P400" t="s">
        <v>45</v>
      </c>
      <c r="Q400" t="s">
        <v>33</v>
      </c>
      <c r="R400" t="s">
        <v>34</v>
      </c>
      <c r="S400">
        <v>1</v>
      </c>
      <c r="T400">
        <v>4</v>
      </c>
      <c r="U400">
        <v>3</v>
      </c>
      <c r="V400" t="s">
        <v>46</v>
      </c>
      <c r="W400" t="s">
        <v>68</v>
      </c>
      <c r="X400" t="s">
        <v>37</v>
      </c>
      <c r="Y400" t="s">
        <v>38</v>
      </c>
      <c r="Z400">
        <v>3.4</v>
      </c>
      <c r="AA400">
        <f t="shared" si="18"/>
        <v>10</v>
      </c>
      <c r="AB400" t="str">
        <f t="shared" si="19"/>
        <v>Yes</v>
      </c>
      <c r="AC400" t="str">
        <f t="shared" si="20"/>
        <v>Needs Improvement</v>
      </c>
    </row>
    <row r="401" spans="1:29" x14ac:dyDescent="0.3">
      <c r="A401" t="s">
        <v>522</v>
      </c>
      <c r="B401" s="1">
        <v>46087</v>
      </c>
      <c r="C401" s="1">
        <v>46087</v>
      </c>
      <c r="D401" s="1">
        <v>46090</v>
      </c>
      <c r="E401" t="s">
        <v>40</v>
      </c>
      <c r="F401" t="s">
        <v>41</v>
      </c>
      <c r="G401" t="s">
        <v>42</v>
      </c>
      <c r="H401">
        <v>1344</v>
      </c>
      <c r="I401" t="s">
        <v>87</v>
      </c>
      <c r="J401">
        <v>7</v>
      </c>
      <c r="K401">
        <v>12096</v>
      </c>
      <c r="L401">
        <v>5</v>
      </c>
      <c r="M401" t="s">
        <v>118</v>
      </c>
      <c r="N401">
        <v>14</v>
      </c>
      <c r="O401">
        <v>3.3</v>
      </c>
      <c r="P401" t="s">
        <v>32</v>
      </c>
      <c r="Q401" t="s">
        <v>62</v>
      </c>
      <c r="R401" t="s">
        <v>34</v>
      </c>
      <c r="S401">
        <v>2</v>
      </c>
      <c r="T401">
        <v>3</v>
      </c>
      <c r="U401">
        <v>1</v>
      </c>
      <c r="V401" t="s">
        <v>46</v>
      </c>
      <c r="W401" t="s">
        <v>55</v>
      </c>
      <c r="X401" t="s">
        <v>47</v>
      </c>
      <c r="Y401" t="s">
        <v>38</v>
      </c>
      <c r="Z401">
        <v>4.5999999999999996</v>
      </c>
      <c r="AA401">
        <f t="shared" si="18"/>
        <v>9</v>
      </c>
      <c r="AB401" t="str">
        <f t="shared" si="19"/>
        <v>Yes</v>
      </c>
      <c r="AC401" t="str">
        <f t="shared" si="20"/>
        <v>Needs Improvement</v>
      </c>
    </row>
    <row r="402" spans="1:29" x14ac:dyDescent="0.3">
      <c r="A402" t="s">
        <v>523</v>
      </c>
      <c r="B402" s="1">
        <v>46136</v>
      </c>
      <c r="C402" s="1">
        <v>46138</v>
      </c>
      <c r="D402" s="1">
        <v>46140</v>
      </c>
      <c r="E402" t="s">
        <v>49</v>
      </c>
      <c r="F402" t="s">
        <v>50</v>
      </c>
      <c r="G402" t="s">
        <v>51</v>
      </c>
      <c r="H402">
        <v>552</v>
      </c>
      <c r="I402" t="s">
        <v>30</v>
      </c>
      <c r="J402">
        <v>1</v>
      </c>
      <c r="K402">
        <v>6072</v>
      </c>
      <c r="L402">
        <v>5</v>
      </c>
      <c r="M402" t="s">
        <v>239</v>
      </c>
      <c r="N402">
        <v>3</v>
      </c>
      <c r="O402">
        <v>4.7</v>
      </c>
      <c r="P402" t="s">
        <v>45</v>
      </c>
      <c r="Q402" t="s">
        <v>33</v>
      </c>
      <c r="R402" t="s">
        <v>67</v>
      </c>
      <c r="S402">
        <v>1</v>
      </c>
      <c r="T402">
        <v>2</v>
      </c>
      <c r="U402">
        <v>1</v>
      </c>
      <c r="V402" t="s">
        <v>46</v>
      </c>
      <c r="W402" t="s">
        <v>36</v>
      </c>
      <c r="X402" t="s">
        <v>63</v>
      </c>
      <c r="Y402" t="s">
        <v>62</v>
      </c>
      <c r="Z402">
        <v>4.4000000000000004</v>
      </c>
      <c r="AA402">
        <f t="shared" si="18"/>
        <v>11</v>
      </c>
      <c r="AB402" t="str">
        <f t="shared" si="19"/>
        <v>Yes</v>
      </c>
      <c r="AC402" t="str">
        <f t="shared" si="20"/>
        <v>Needs Improvement</v>
      </c>
    </row>
    <row r="403" spans="1:29" x14ac:dyDescent="0.3">
      <c r="A403" t="s">
        <v>524</v>
      </c>
      <c r="B403" s="1">
        <v>46123</v>
      </c>
      <c r="C403" s="1">
        <v>46123</v>
      </c>
      <c r="D403" s="1">
        <v>46125</v>
      </c>
      <c r="E403" t="s">
        <v>72</v>
      </c>
      <c r="F403" t="s">
        <v>73</v>
      </c>
      <c r="G403" t="s">
        <v>74</v>
      </c>
      <c r="H403">
        <v>238</v>
      </c>
      <c r="I403" t="s">
        <v>43</v>
      </c>
      <c r="J403">
        <v>7</v>
      </c>
      <c r="K403">
        <v>1428</v>
      </c>
      <c r="L403">
        <v>6</v>
      </c>
      <c r="M403" t="s">
        <v>107</v>
      </c>
      <c r="N403">
        <v>1</v>
      </c>
      <c r="O403">
        <v>4.5999999999999996</v>
      </c>
      <c r="P403" t="s">
        <v>32</v>
      </c>
      <c r="Q403" t="s">
        <v>62</v>
      </c>
      <c r="R403" t="s">
        <v>67</v>
      </c>
      <c r="S403">
        <v>1</v>
      </c>
      <c r="T403">
        <v>2</v>
      </c>
      <c r="U403">
        <v>1</v>
      </c>
      <c r="V403" t="s">
        <v>46</v>
      </c>
      <c r="W403" t="s">
        <v>36</v>
      </c>
      <c r="X403" t="s">
        <v>63</v>
      </c>
      <c r="Y403" t="s">
        <v>62</v>
      </c>
      <c r="Z403">
        <v>4.3</v>
      </c>
      <c r="AA403">
        <f t="shared" si="18"/>
        <v>6</v>
      </c>
      <c r="AB403" t="str">
        <f t="shared" si="19"/>
        <v>Yes</v>
      </c>
      <c r="AC403" t="str">
        <f t="shared" si="20"/>
        <v>Needs Improvement</v>
      </c>
    </row>
    <row r="404" spans="1:29" x14ac:dyDescent="0.3">
      <c r="A404" t="s">
        <v>525</v>
      </c>
      <c r="B404" s="1">
        <v>46119</v>
      </c>
      <c r="C404" s="1">
        <v>46119</v>
      </c>
      <c r="D404" s="1">
        <v>46123</v>
      </c>
      <c r="E404" t="s">
        <v>72</v>
      </c>
      <c r="F404" t="s">
        <v>73</v>
      </c>
      <c r="G404" t="s">
        <v>74</v>
      </c>
      <c r="H404">
        <v>1432</v>
      </c>
      <c r="I404" t="s">
        <v>60</v>
      </c>
      <c r="J404">
        <v>10</v>
      </c>
      <c r="K404">
        <v>10024</v>
      </c>
      <c r="L404">
        <v>6</v>
      </c>
      <c r="M404" t="s">
        <v>103</v>
      </c>
      <c r="N404">
        <v>6</v>
      </c>
      <c r="O404">
        <v>3.1</v>
      </c>
      <c r="P404" t="s">
        <v>45</v>
      </c>
      <c r="Q404" t="s">
        <v>33</v>
      </c>
      <c r="R404" t="s">
        <v>34</v>
      </c>
      <c r="S404">
        <v>3</v>
      </c>
      <c r="T404">
        <v>4</v>
      </c>
      <c r="U404">
        <v>1</v>
      </c>
      <c r="V404" t="s">
        <v>46</v>
      </c>
      <c r="W404" t="s">
        <v>55</v>
      </c>
      <c r="X404" t="s">
        <v>76</v>
      </c>
      <c r="Y404" t="s">
        <v>38</v>
      </c>
      <c r="Z404">
        <v>4</v>
      </c>
      <c r="AA404">
        <f t="shared" si="18"/>
        <v>7</v>
      </c>
      <c r="AB404" t="str">
        <f t="shared" si="19"/>
        <v>Yes</v>
      </c>
      <c r="AC404" t="str">
        <f t="shared" si="20"/>
        <v>Needs Improvement</v>
      </c>
    </row>
    <row r="405" spans="1:29" x14ac:dyDescent="0.3">
      <c r="A405" t="s">
        <v>526</v>
      </c>
      <c r="B405" s="1">
        <v>46031</v>
      </c>
      <c r="C405" s="1">
        <v>46031</v>
      </c>
      <c r="D405" s="1">
        <v>46035</v>
      </c>
      <c r="E405" t="s">
        <v>27</v>
      </c>
      <c r="F405" t="s">
        <v>28</v>
      </c>
      <c r="G405" t="s">
        <v>29</v>
      </c>
      <c r="H405">
        <v>1283</v>
      </c>
      <c r="I405" t="s">
        <v>60</v>
      </c>
      <c r="J405">
        <v>4</v>
      </c>
      <c r="K405">
        <v>10264</v>
      </c>
      <c r="L405">
        <v>6</v>
      </c>
      <c r="M405" t="s">
        <v>190</v>
      </c>
      <c r="N405">
        <v>9</v>
      </c>
      <c r="O405">
        <v>3</v>
      </c>
      <c r="P405" t="s">
        <v>32</v>
      </c>
      <c r="Q405" t="s">
        <v>38</v>
      </c>
      <c r="R405" t="s">
        <v>54</v>
      </c>
      <c r="S405">
        <v>2</v>
      </c>
      <c r="T405">
        <v>4</v>
      </c>
      <c r="U405">
        <v>2</v>
      </c>
      <c r="V405" t="s">
        <v>46</v>
      </c>
      <c r="W405" t="s">
        <v>68</v>
      </c>
      <c r="X405" t="s">
        <v>47</v>
      </c>
      <c r="Y405" t="s">
        <v>33</v>
      </c>
      <c r="Z405">
        <v>4.2</v>
      </c>
      <c r="AA405">
        <f t="shared" si="18"/>
        <v>8</v>
      </c>
      <c r="AB405" t="str">
        <f t="shared" si="19"/>
        <v>Yes</v>
      </c>
      <c r="AC405" t="str">
        <f t="shared" si="20"/>
        <v>Needs Improvement</v>
      </c>
    </row>
    <row r="406" spans="1:29" x14ac:dyDescent="0.3">
      <c r="A406" t="s">
        <v>527</v>
      </c>
      <c r="B406" s="1">
        <v>46079</v>
      </c>
      <c r="C406" s="1">
        <v>46081</v>
      </c>
      <c r="D406" s="1">
        <v>46082</v>
      </c>
      <c r="E406" t="s">
        <v>72</v>
      </c>
      <c r="F406" t="s">
        <v>73</v>
      </c>
      <c r="G406" t="s">
        <v>74</v>
      </c>
      <c r="H406">
        <v>570</v>
      </c>
      <c r="I406" t="s">
        <v>30</v>
      </c>
      <c r="J406">
        <v>7</v>
      </c>
      <c r="K406">
        <v>5130</v>
      </c>
      <c r="L406">
        <v>6</v>
      </c>
      <c r="M406" t="s">
        <v>186</v>
      </c>
      <c r="N406">
        <v>4</v>
      </c>
      <c r="O406">
        <v>3.8</v>
      </c>
      <c r="P406" t="s">
        <v>66</v>
      </c>
      <c r="Q406" t="s">
        <v>38</v>
      </c>
      <c r="R406" t="s">
        <v>34</v>
      </c>
      <c r="S406">
        <v>1</v>
      </c>
      <c r="T406">
        <v>1</v>
      </c>
      <c r="U406">
        <v>0</v>
      </c>
      <c r="V406" t="s">
        <v>35</v>
      </c>
      <c r="W406" t="s">
        <v>68</v>
      </c>
      <c r="X406" t="s">
        <v>47</v>
      </c>
      <c r="Y406" t="s">
        <v>33</v>
      </c>
      <c r="Z406">
        <v>3.6</v>
      </c>
      <c r="AA406">
        <f t="shared" si="18"/>
        <v>9</v>
      </c>
      <c r="AB406" t="str">
        <f t="shared" si="19"/>
        <v>No</v>
      </c>
      <c r="AC406" t="str">
        <f t="shared" si="20"/>
        <v>Efficient</v>
      </c>
    </row>
    <row r="407" spans="1:29" x14ac:dyDescent="0.3">
      <c r="A407" t="s">
        <v>528</v>
      </c>
      <c r="B407" s="1">
        <v>46115</v>
      </c>
      <c r="C407" s="1">
        <v>46115</v>
      </c>
      <c r="D407" s="1">
        <v>46118</v>
      </c>
      <c r="E407" t="s">
        <v>72</v>
      </c>
      <c r="F407" t="s">
        <v>73</v>
      </c>
      <c r="G407" t="s">
        <v>74</v>
      </c>
      <c r="H407">
        <v>871</v>
      </c>
      <c r="I407" t="s">
        <v>43</v>
      </c>
      <c r="J407">
        <v>2</v>
      </c>
      <c r="K407">
        <v>7839</v>
      </c>
      <c r="L407">
        <v>7</v>
      </c>
      <c r="M407" t="s">
        <v>61</v>
      </c>
      <c r="N407">
        <v>10</v>
      </c>
      <c r="O407">
        <v>4.5</v>
      </c>
      <c r="P407" t="s">
        <v>53</v>
      </c>
      <c r="Q407" t="s">
        <v>38</v>
      </c>
      <c r="R407" t="s">
        <v>54</v>
      </c>
      <c r="S407">
        <v>1</v>
      </c>
      <c r="T407">
        <v>3</v>
      </c>
      <c r="U407">
        <v>2</v>
      </c>
      <c r="V407" t="s">
        <v>46</v>
      </c>
      <c r="W407" t="s">
        <v>68</v>
      </c>
      <c r="X407" t="s">
        <v>37</v>
      </c>
      <c r="Y407" t="s">
        <v>38</v>
      </c>
      <c r="Z407">
        <v>4.8</v>
      </c>
      <c r="AA407">
        <f t="shared" si="18"/>
        <v>9</v>
      </c>
      <c r="AB407" t="str">
        <f t="shared" si="19"/>
        <v>Yes</v>
      </c>
      <c r="AC407" t="str">
        <f t="shared" si="20"/>
        <v>Needs Improvement</v>
      </c>
    </row>
    <row r="408" spans="1:29" x14ac:dyDescent="0.3">
      <c r="A408" t="s">
        <v>529</v>
      </c>
      <c r="B408" s="1">
        <v>46125</v>
      </c>
      <c r="C408" s="1">
        <v>46126</v>
      </c>
      <c r="D408" s="1">
        <v>46128</v>
      </c>
      <c r="E408" t="s">
        <v>49</v>
      </c>
      <c r="F408" t="s">
        <v>50</v>
      </c>
      <c r="G408" t="s">
        <v>51</v>
      </c>
      <c r="H408">
        <v>567</v>
      </c>
      <c r="I408" t="s">
        <v>87</v>
      </c>
      <c r="J408">
        <v>8</v>
      </c>
      <c r="K408">
        <v>6237</v>
      </c>
      <c r="L408">
        <v>5</v>
      </c>
      <c r="M408" t="s">
        <v>205</v>
      </c>
      <c r="N408">
        <v>8</v>
      </c>
      <c r="O408">
        <v>4</v>
      </c>
      <c r="P408" t="s">
        <v>32</v>
      </c>
      <c r="Q408" t="s">
        <v>38</v>
      </c>
      <c r="R408" t="s">
        <v>67</v>
      </c>
      <c r="S408">
        <v>1</v>
      </c>
      <c r="T408">
        <v>2</v>
      </c>
      <c r="U408">
        <v>1</v>
      </c>
      <c r="V408" t="s">
        <v>46</v>
      </c>
      <c r="W408" t="s">
        <v>68</v>
      </c>
      <c r="X408" t="s">
        <v>76</v>
      </c>
      <c r="Y408" t="s">
        <v>38</v>
      </c>
      <c r="Z408">
        <v>4.5</v>
      </c>
      <c r="AA408">
        <f t="shared" si="18"/>
        <v>11</v>
      </c>
      <c r="AB408" t="str">
        <f t="shared" si="19"/>
        <v>Yes</v>
      </c>
      <c r="AC408" t="str">
        <f t="shared" si="20"/>
        <v>Needs Improvement</v>
      </c>
    </row>
    <row r="409" spans="1:29" x14ac:dyDescent="0.3">
      <c r="A409" t="s">
        <v>530</v>
      </c>
      <c r="B409" s="1">
        <v>46137</v>
      </c>
      <c r="C409" s="1">
        <v>46137</v>
      </c>
      <c r="D409" s="1">
        <v>46143</v>
      </c>
      <c r="E409" t="s">
        <v>72</v>
      </c>
      <c r="F409" t="s">
        <v>73</v>
      </c>
      <c r="G409" t="s">
        <v>74</v>
      </c>
      <c r="H409">
        <v>944</v>
      </c>
      <c r="I409" t="s">
        <v>60</v>
      </c>
      <c r="J409">
        <v>6</v>
      </c>
      <c r="K409">
        <v>6608</v>
      </c>
      <c r="L409">
        <v>9</v>
      </c>
      <c r="M409" t="s">
        <v>205</v>
      </c>
      <c r="N409">
        <v>2</v>
      </c>
      <c r="O409">
        <v>3.5</v>
      </c>
      <c r="P409" t="s">
        <v>53</v>
      </c>
      <c r="Q409" t="s">
        <v>33</v>
      </c>
      <c r="R409" t="s">
        <v>34</v>
      </c>
      <c r="S409">
        <v>2</v>
      </c>
      <c r="T409">
        <v>6</v>
      </c>
      <c r="U409">
        <v>4</v>
      </c>
      <c r="V409" t="s">
        <v>46</v>
      </c>
      <c r="W409" t="s">
        <v>55</v>
      </c>
      <c r="X409" t="s">
        <v>47</v>
      </c>
      <c r="Y409" t="s">
        <v>33</v>
      </c>
      <c r="Z409">
        <v>4.9000000000000004</v>
      </c>
      <c r="AA409">
        <f t="shared" si="18"/>
        <v>7</v>
      </c>
      <c r="AB409" t="str">
        <f t="shared" si="19"/>
        <v>Yes</v>
      </c>
      <c r="AC409" t="str">
        <f t="shared" si="20"/>
        <v>Needs Improvement</v>
      </c>
    </row>
    <row r="410" spans="1:29" x14ac:dyDescent="0.3">
      <c r="A410" t="s">
        <v>531</v>
      </c>
      <c r="B410" s="1">
        <v>46068</v>
      </c>
      <c r="C410" s="1">
        <v>46069</v>
      </c>
      <c r="D410" s="1">
        <v>46071</v>
      </c>
      <c r="E410" t="s">
        <v>111</v>
      </c>
      <c r="F410" t="s">
        <v>27</v>
      </c>
      <c r="G410" t="s">
        <v>112</v>
      </c>
      <c r="H410">
        <v>1192</v>
      </c>
      <c r="I410" t="s">
        <v>30</v>
      </c>
      <c r="J410">
        <v>3</v>
      </c>
      <c r="K410">
        <v>14304</v>
      </c>
      <c r="L410">
        <v>8</v>
      </c>
      <c r="M410" t="s">
        <v>107</v>
      </c>
      <c r="N410">
        <v>2</v>
      </c>
      <c r="O410">
        <v>3.5</v>
      </c>
      <c r="P410" t="s">
        <v>53</v>
      </c>
      <c r="Q410" t="s">
        <v>38</v>
      </c>
      <c r="R410" t="s">
        <v>54</v>
      </c>
      <c r="S410">
        <v>2</v>
      </c>
      <c r="T410">
        <v>2</v>
      </c>
      <c r="U410">
        <v>0</v>
      </c>
      <c r="V410" t="s">
        <v>35</v>
      </c>
      <c r="W410" t="s">
        <v>36</v>
      </c>
      <c r="X410" t="s">
        <v>63</v>
      </c>
      <c r="Y410" t="s">
        <v>38</v>
      </c>
      <c r="Z410">
        <v>4</v>
      </c>
      <c r="AA410">
        <f t="shared" si="18"/>
        <v>12</v>
      </c>
      <c r="AB410" t="str">
        <f t="shared" si="19"/>
        <v>No</v>
      </c>
      <c r="AC410" t="str">
        <f t="shared" si="20"/>
        <v>Efficient</v>
      </c>
    </row>
    <row r="411" spans="1:29" x14ac:dyDescent="0.3">
      <c r="A411" t="s">
        <v>532</v>
      </c>
      <c r="B411" s="1">
        <v>46026</v>
      </c>
      <c r="C411" s="1">
        <v>46026</v>
      </c>
      <c r="D411" s="1">
        <v>46031</v>
      </c>
      <c r="E411" t="s">
        <v>111</v>
      </c>
      <c r="F411" t="s">
        <v>27</v>
      </c>
      <c r="G411" t="s">
        <v>112</v>
      </c>
      <c r="H411">
        <v>1438</v>
      </c>
      <c r="I411" t="s">
        <v>30</v>
      </c>
      <c r="J411">
        <v>3</v>
      </c>
      <c r="K411">
        <v>11504</v>
      </c>
      <c r="L411">
        <v>9</v>
      </c>
      <c r="M411" t="s">
        <v>139</v>
      </c>
      <c r="N411">
        <v>2</v>
      </c>
      <c r="O411">
        <v>4.5</v>
      </c>
      <c r="P411" t="s">
        <v>53</v>
      </c>
      <c r="Q411" t="s">
        <v>62</v>
      </c>
      <c r="R411" t="s">
        <v>67</v>
      </c>
      <c r="S411">
        <v>3</v>
      </c>
      <c r="T411">
        <v>5</v>
      </c>
      <c r="U411">
        <v>2</v>
      </c>
      <c r="V411" t="s">
        <v>46</v>
      </c>
      <c r="W411" t="s">
        <v>68</v>
      </c>
      <c r="X411" t="s">
        <v>95</v>
      </c>
      <c r="Y411" t="s">
        <v>33</v>
      </c>
      <c r="Z411">
        <v>3.5</v>
      </c>
      <c r="AA411">
        <f t="shared" si="18"/>
        <v>8</v>
      </c>
      <c r="AB411" t="str">
        <f t="shared" si="19"/>
        <v>Yes</v>
      </c>
      <c r="AC411" t="str">
        <f t="shared" si="20"/>
        <v>Needs Improvement</v>
      </c>
    </row>
    <row r="412" spans="1:29" x14ac:dyDescent="0.3">
      <c r="A412" t="s">
        <v>533</v>
      </c>
      <c r="B412" s="1">
        <v>46066</v>
      </c>
      <c r="C412" s="1">
        <v>46068</v>
      </c>
      <c r="D412" s="1">
        <v>46071</v>
      </c>
      <c r="E412" t="s">
        <v>27</v>
      </c>
      <c r="F412" t="s">
        <v>28</v>
      </c>
      <c r="G412" t="s">
        <v>29</v>
      </c>
      <c r="H412">
        <v>1764</v>
      </c>
      <c r="I412" t="s">
        <v>87</v>
      </c>
      <c r="J412">
        <v>7</v>
      </c>
      <c r="K412">
        <v>10584</v>
      </c>
      <c r="L412">
        <v>8</v>
      </c>
      <c r="M412" t="s">
        <v>128</v>
      </c>
      <c r="N412">
        <v>6</v>
      </c>
      <c r="O412">
        <v>4.7</v>
      </c>
      <c r="P412" t="s">
        <v>53</v>
      </c>
      <c r="Q412" t="s">
        <v>62</v>
      </c>
      <c r="R412" t="s">
        <v>67</v>
      </c>
      <c r="S412">
        <v>3</v>
      </c>
      <c r="T412">
        <v>3</v>
      </c>
      <c r="U412">
        <v>0</v>
      </c>
      <c r="V412" t="s">
        <v>35</v>
      </c>
      <c r="W412" t="s">
        <v>55</v>
      </c>
      <c r="X412" t="s">
        <v>47</v>
      </c>
      <c r="Y412" t="s">
        <v>33</v>
      </c>
      <c r="Z412">
        <v>3.3</v>
      </c>
      <c r="AA412">
        <f t="shared" si="18"/>
        <v>6</v>
      </c>
      <c r="AB412" t="str">
        <f t="shared" si="19"/>
        <v>No</v>
      </c>
      <c r="AC412" t="str">
        <f t="shared" si="20"/>
        <v>Efficient</v>
      </c>
    </row>
    <row r="413" spans="1:29" x14ac:dyDescent="0.3">
      <c r="A413" t="s">
        <v>534</v>
      </c>
      <c r="B413" s="1">
        <v>46078</v>
      </c>
      <c r="C413" s="1">
        <v>46078</v>
      </c>
      <c r="D413" s="1">
        <v>46081</v>
      </c>
      <c r="E413" t="s">
        <v>57</v>
      </c>
      <c r="F413" t="s">
        <v>58</v>
      </c>
      <c r="G413" t="s">
        <v>59</v>
      </c>
      <c r="H413">
        <v>1665</v>
      </c>
      <c r="I413" t="s">
        <v>43</v>
      </c>
      <c r="J413">
        <v>8</v>
      </c>
      <c r="K413">
        <v>19980</v>
      </c>
      <c r="L413">
        <v>5</v>
      </c>
      <c r="M413" t="s">
        <v>105</v>
      </c>
      <c r="N413">
        <v>11</v>
      </c>
      <c r="O413">
        <v>4</v>
      </c>
      <c r="P413" t="s">
        <v>53</v>
      </c>
      <c r="Q413" t="s">
        <v>62</v>
      </c>
      <c r="R413" t="s">
        <v>54</v>
      </c>
      <c r="S413">
        <v>3</v>
      </c>
      <c r="T413">
        <v>3</v>
      </c>
      <c r="U413">
        <v>0</v>
      </c>
      <c r="V413" t="s">
        <v>35</v>
      </c>
      <c r="W413" t="s">
        <v>68</v>
      </c>
      <c r="X413" t="s">
        <v>47</v>
      </c>
      <c r="Y413" t="s">
        <v>62</v>
      </c>
      <c r="Z413">
        <v>4.2</v>
      </c>
      <c r="AA413">
        <f t="shared" si="18"/>
        <v>12</v>
      </c>
      <c r="AB413" t="str">
        <f t="shared" si="19"/>
        <v>No</v>
      </c>
      <c r="AC413" t="str">
        <f t="shared" si="20"/>
        <v>Efficient</v>
      </c>
    </row>
    <row r="414" spans="1:29" x14ac:dyDescent="0.3">
      <c r="A414" t="s">
        <v>535</v>
      </c>
      <c r="B414" s="1">
        <v>46071</v>
      </c>
      <c r="C414" s="1">
        <v>46073</v>
      </c>
      <c r="D414" s="1">
        <v>46076</v>
      </c>
      <c r="E414" t="s">
        <v>49</v>
      </c>
      <c r="F414" t="s">
        <v>50</v>
      </c>
      <c r="G414" t="s">
        <v>51</v>
      </c>
      <c r="H414">
        <v>1769</v>
      </c>
      <c r="I414" t="s">
        <v>30</v>
      </c>
      <c r="J414">
        <v>6</v>
      </c>
      <c r="K414">
        <v>10614</v>
      </c>
      <c r="L414">
        <v>5</v>
      </c>
      <c r="M414" t="s">
        <v>145</v>
      </c>
      <c r="N414">
        <v>1</v>
      </c>
      <c r="O414">
        <v>3.3</v>
      </c>
      <c r="P414" t="s">
        <v>66</v>
      </c>
      <c r="Q414" t="s">
        <v>62</v>
      </c>
      <c r="R414" t="s">
        <v>54</v>
      </c>
      <c r="S414">
        <v>3</v>
      </c>
      <c r="T414">
        <v>3</v>
      </c>
      <c r="U414">
        <v>0</v>
      </c>
      <c r="V414" t="s">
        <v>35</v>
      </c>
      <c r="W414" t="s">
        <v>55</v>
      </c>
      <c r="X414" t="s">
        <v>47</v>
      </c>
      <c r="Y414" t="s">
        <v>62</v>
      </c>
      <c r="Z414">
        <v>3.2</v>
      </c>
      <c r="AA414">
        <f t="shared" si="18"/>
        <v>6</v>
      </c>
      <c r="AB414" t="str">
        <f t="shared" si="19"/>
        <v>No</v>
      </c>
      <c r="AC414" t="str">
        <f t="shared" si="20"/>
        <v>Efficient</v>
      </c>
    </row>
    <row r="415" spans="1:29" x14ac:dyDescent="0.3">
      <c r="A415" t="s">
        <v>536</v>
      </c>
      <c r="B415" s="1">
        <v>46067</v>
      </c>
      <c r="C415" s="1">
        <v>46068</v>
      </c>
      <c r="D415" s="1">
        <v>46071</v>
      </c>
      <c r="E415" t="s">
        <v>111</v>
      </c>
      <c r="F415" t="s">
        <v>27</v>
      </c>
      <c r="G415" t="s">
        <v>112</v>
      </c>
      <c r="H415">
        <v>919</v>
      </c>
      <c r="I415" t="s">
        <v>87</v>
      </c>
      <c r="J415">
        <v>4</v>
      </c>
      <c r="K415">
        <v>6433</v>
      </c>
      <c r="L415">
        <v>6</v>
      </c>
      <c r="M415" t="s">
        <v>97</v>
      </c>
      <c r="N415">
        <v>5</v>
      </c>
      <c r="O415">
        <v>4.2</v>
      </c>
      <c r="P415" t="s">
        <v>32</v>
      </c>
      <c r="Q415" t="s">
        <v>62</v>
      </c>
      <c r="R415" t="s">
        <v>67</v>
      </c>
      <c r="S415">
        <v>2</v>
      </c>
      <c r="T415">
        <v>3</v>
      </c>
      <c r="U415">
        <v>1</v>
      </c>
      <c r="V415" t="s">
        <v>46</v>
      </c>
      <c r="W415" t="s">
        <v>36</v>
      </c>
      <c r="X415" t="s">
        <v>63</v>
      </c>
      <c r="Y415" t="s">
        <v>33</v>
      </c>
      <c r="Z415">
        <v>3.7</v>
      </c>
      <c r="AA415">
        <f t="shared" si="18"/>
        <v>7</v>
      </c>
      <c r="AB415" t="str">
        <f t="shared" si="19"/>
        <v>Yes</v>
      </c>
      <c r="AC415" t="str">
        <f t="shared" si="20"/>
        <v>Needs Improvement</v>
      </c>
    </row>
    <row r="416" spans="1:29" x14ac:dyDescent="0.3">
      <c r="A416" t="s">
        <v>537</v>
      </c>
      <c r="B416" s="1">
        <v>46081</v>
      </c>
      <c r="C416" s="1">
        <v>46083</v>
      </c>
      <c r="D416" s="1">
        <v>46088</v>
      </c>
      <c r="E416" t="s">
        <v>111</v>
      </c>
      <c r="F416" t="s">
        <v>27</v>
      </c>
      <c r="G416" t="s">
        <v>112</v>
      </c>
      <c r="H416">
        <v>1363</v>
      </c>
      <c r="I416" t="s">
        <v>43</v>
      </c>
      <c r="J416">
        <v>5</v>
      </c>
      <c r="K416">
        <v>8178</v>
      </c>
      <c r="L416">
        <v>10</v>
      </c>
      <c r="M416" t="s">
        <v>116</v>
      </c>
      <c r="N416">
        <v>10</v>
      </c>
      <c r="O416">
        <v>3</v>
      </c>
      <c r="P416" t="s">
        <v>66</v>
      </c>
      <c r="Q416" t="s">
        <v>62</v>
      </c>
      <c r="R416" t="s">
        <v>54</v>
      </c>
      <c r="S416">
        <v>3</v>
      </c>
      <c r="T416">
        <v>5</v>
      </c>
      <c r="U416">
        <v>2</v>
      </c>
      <c r="V416" t="s">
        <v>46</v>
      </c>
      <c r="W416" t="s">
        <v>55</v>
      </c>
      <c r="X416" t="s">
        <v>63</v>
      </c>
      <c r="Y416" t="s">
        <v>62</v>
      </c>
      <c r="Z416">
        <v>3.2</v>
      </c>
      <c r="AA416">
        <f t="shared" si="18"/>
        <v>6</v>
      </c>
      <c r="AB416" t="str">
        <f t="shared" si="19"/>
        <v>Yes</v>
      </c>
      <c r="AC416" t="str">
        <f t="shared" si="20"/>
        <v>Needs Improvement</v>
      </c>
    </row>
    <row r="417" spans="1:29" x14ac:dyDescent="0.3">
      <c r="A417" t="s">
        <v>538</v>
      </c>
      <c r="B417" s="1">
        <v>46109</v>
      </c>
      <c r="C417" s="1">
        <v>46109</v>
      </c>
      <c r="D417" s="1">
        <v>46113</v>
      </c>
      <c r="E417" t="s">
        <v>49</v>
      </c>
      <c r="F417" t="s">
        <v>50</v>
      </c>
      <c r="G417" t="s">
        <v>51</v>
      </c>
      <c r="H417">
        <v>1217</v>
      </c>
      <c r="I417" t="s">
        <v>30</v>
      </c>
      <c r="J417">
        <v>3</v>
      </c>
      <c r="K417">
        <v>12170</v>
      </c>
      <c r="L417">
        <v>7</v>
      </c>
      <c r="M417" t="s">
        <v>80</v>
      </c>
      <c r="N417">
        <v>7</v>
      </c>
      <c r="O417">
        <v>3.4</v>
      </c>
      <c r="P417" t="s">
        <v>32</v>
      </c>
      <c r="Q417" t="s">
        <v>33</v>
      </c>
      <c r="R417" t="s">
        <v>67</v>
      </c>
      <c r="S417">
        <v>2</v>
      </c>
      <c r="T417">
        <v>4</v>
      </c>
      <c r="U417">
        <v>2</v>
      </c>
      <c r="V417" t="s">
        <v>46</v>
      </c>
      <c r="W417" t="s">
        <v>36</v>
      </c>
      <c r="X417" t="s">
        <v>47</v>
      </c>
      <c r="Y417" t="s">
        <v>33</v>
      </c>
      <c r="Z417">
        <v>3.8</v>
      </c>
      <c r="AA417">
        <f t="shared" si="18"/>
        <v>10</v>
      </c>
      <c r="AB417" t="str">
        <f t="shared" si="19"/>
        <v>Yes</v>
      </c>
      <c r="AC417" t="str">
        <f t="shared" si="20"/>
        <v>Needs Improvement</v>
      </c>
    </row>
    <row r="418" spans="1:29" x14ac:dyDescent="0.3">
      <c r="A418" t="s">
        <v>539</v>
      </c>
      <c r="B418" s="1">
        <v>46051</v>
      </c>
      <c r="C418" s="1">
        <v>46053</v>
      </c>
      <c r="D418" s="1">
        <v>46056</v>
      </c>
      <c r="E418" t="s">
        <v>72</v>
      </c>
      <c r="F418" t="s">
        <v>73</v>
      </c>
      <c r="G418" t="s">
        <v>74</v>
      </c>
      <c r="H418">
        <v>1669</v>
      </c>
      <c r="I418" t="s">
        <v>87</v>
      </c>
      <c r="J418">
        <v>10</v>
      </c>
      <c r="K418">
        <v>13352</v>
      </c>
      <c r="L418">
        <v>7</v>
      </c>
      <c r="M418" t="s">
        <v>165</v>
      </c>
      <c r="N418">
        <v>10</v>
      </c>
      <c r="O418">
        <v>4.5999999999999996</v>
      </c>
      <c r="P418" t="s">
        <v>53</v>
      </c>
      <c r="Q418" t="s">
        <v>62</v>
      </c>
      <c r="R418" t="s">
        <v>67</v>
      </c>
      <c r="S418">
        <v>3</v>
      </c>
      <c r="T418">
        <v>3</v>
      </c>
      <c r="U418">
        <v>0</v>
      </c>
      <c r="V418" t="s">
        <v>35</v>
      </c>
      <c r="W418" t="s">
        <v>55</v>
      </c>
      <c r="X418" t="s">
        <v>47</v>
      </c>
      <c r="Y418" t="s">
        <v>33</v>
      </c>
      <c r="Z418">
        <v>4.5999999999999996</v>
      </c>
      <c r="AA418">
        <f t="shared" si="18"/>
        <v>8</v>
      </c>
      <c r="AB418" t="str">
        <f t="shared" si="19"/>
        <v>No</v>
      </c>
      <c r="AC418" t="str">
        <f t="shared" si="20"/>
        <v>Efficient</v>
      </c>
    </row>
    <row r="419" spans="1:29" x14ac:dyDescent="0.3">
      <c r="A419" t="s">
        <v>540</v>
      </c>
      <c r="B419" s="1">
        <v>46078</v>
      </c>
      <c r="C419" s="1">
        <v>46080</v>
      </c>
      <c r="D419" s="1">
        <v>46085</v>
      </c>
      <c r="E419" t="s">
        <v>49</v>
      </c>
      <c r="F419" t="s">
        <v>50</v>
      </c>
      <c r="G419" t="s">
        <v>51</v>
      </c>
      <c r="H419">
        <v>609</v>
      </c>
      <c r="I419" t="s">
        <v>43</v>
      </c>
      <c r="J419">
        <v>7</v>
      </c>
      <c r="K419">
        <v>4872</v>
      </c>
      <c r="L419">
        <v>9</v>
      </c>
      <c r="M419" t="s">
        <v>186</v>
      </c>
      <c r="N419">
        <v>8</v>
      </c>
      <c r="O419">
        <v>4.3</v>
      </c>
      <c r="P419" t="s">
        <v>45</v>
      </c>
      <c r="Q419" t="s">
        <v>38</v>
      </c>
      <c r="R419" t="s">
        <v>54</v>
      </c>
      <c r="S419">
        <v>1</v>
      </c>
      <c r="T419">
        <v>5</v>
      </c>
      <c r="U419">
        <v>4</v>
      </c>
      <c r="V419" t="s">
        <v>46</v>
      </c>
      <c r="W419" t="s">
        <v>36</v>
      </c>
      <c r="X419" t="s">
        <v>76</v>
      </c>
      <c r="Y419" t="s">
        <v>62</v>
      </c>
      <c r="Z419">
        <v>3.4</v>
      </c>
      <c r="AA419">
        <f t="shared" si="18"/>
        <v>8</v>
      </c>
      <c r="AB419" t="str">
        <f t="shared" si="19"/>
        <v>Yes</v>
      </c>
      <c r="AC419" t="str">
        <f t="shared" si="20"/>
        <v>Needs Improvement</v>
      </c>
    </row>
    <row r="420" spans="1:29" x14ac:dyDescent="0.3">
      <c r="A420" t="s">
        <v>541</v>
      </c>
      <c r="B420" s="1">
        <v>46128</v>
      </c>
      <c r="C420" s="1">
        <v>46130</v>
      </c>
      <c r="D420" s="1">
        <v>46133</v>
      </c>
      <c r="E420" t="s">
        <v>92</v>
      </c>
      <c r="F420" t="s">
        <v>93</v>
      </c>
      <c r="G420" t="s">
        <v>94</v>
      </c>
      <c r="H420">
        <v>748</v>
      </c>
      <c r="I420" t="s">
        <v>43</v>
      </c>
      <c r="J420">
        <v>10</v>
      </c>
      <c r="K420">
        <v>8228</v>
      </c>
      <c r="L420">
        <v>10</v>
      </c>
      <c r="M420" t="s">
        <v>208</v>
      </c>
      <c r="N420">
        <v>9</v>
      </c>
      <c r="O420">
        <v>3.4</v>
      </c>
      <c r="P420" t="s">
        <v>53</v>
      </c>
      <c r="Q420" t="s">
        <v>38</v>
      </c>
      <c r="R420" t="s">
        <v>67</v>
      </c>
      <c r="S420">
        <v>1</v>
      </c>
      <c r="T420">
        <v>3</v>
      </c>
      <c r="U420">
        <v>2</v>
      </c>
      <c r="V420" t="s">
        <v>46</v>
      </c>
      <c r="W420" t="s">
        <v>55</v>
      </c>
      <c r="X420" t="s">
        <v>47</v>
      </c>
      <c r="Y420" t="s">
        <v>62</v>
      </c>
      <c r="Z420">
        <v>3.8</v>
      </c>
      <c r="AA420">
        <f t="shared" si="18"/>
        <v>11</v>
      </c>
      <c r="AB420" t="str">
        <f t="shared" si="19"/>
        <v>Yes</v>
      </c>
      <c r="AC420" t="str">
        <f t="shared" si="20"/>
        <v>Needs Improvement</v>
      </c>
    </row>
    <row r="421" spans="1:29" x14ac:dyDescent="0.3">
      <c r="A421" t="s">
        <v>542</v>
      </c>
      <c r="B421" s="1">
        <v>46133</v>
      </c>
      <c r="C421" s="1">
        <v>46133</v>
      </c>
      <c r="D421" s="1">
        <v>46135</v>
      </c>
      <c r="E421" t="s">
        <v>40</v>
      </c>
      <c r="F421" t="s">
        <v>41</v>
      </c>
      <c r="G421" t="s">
        <v>42</v>
      </c>
      <c r="H421">
        <v>1044</v>
      </c>
      <c r="I421" t="s">
        <v>30</v>
      </c>
      <c r="J421">
        <v>5</v>
      </c>
      <c r="K421">
        <v>11484</v>
      </c>
      <c r="L421">
        <v>6</v>
      </c>
      <c r="M421" t="s">
        <v>243</v>
      </c>
      <c r="N421">
        <v>11</v>
      </c>
      <c r="O421">
        <v>4.2</v>
      </c>
      <c r="P421" t="s">
        <v>53</v>
      </c>
      <c r="Q421" t="s">
        <v>38</v>
      </c>
      <c r="R421" t="s">
        <v>67</v>
      </c>
      <c r="S421">
        <v>2</v>
      </c>
      <c r="T421">
        <v>2</v>
      </c>
      <c r="U421">
        <v>0</v>
      </c>
      <c r="V421" t="s">
        <v>35</v>
      </c>
      <c r="W421" t="s">
        <v>36</v>
      </c>
      <c r="X421" t="s">
        <v>37</v>
      </c>
      <c r="Y421" t="s">
        <v>62</v>
      </c>
      <c r="Z421">
        <v>3.9</v>
      </c>
      <c r="AA421">
        <f t="shared" si="18"/>
        <v>11</v>
      </c>
      <c r="AB421" t="str">
        <f t="shared" si="19"/>
        <v>No</v>
      </c>
      <c r="AC421" t="str">
        <f t="shared" si="20"/>
        <v>Efficient</v>
      </c>
    </row>
    <row r="422" spans="1:29" x14ac:dyDescent="0.3">
      <c r="A422" t="s">
        <v>543</v>
      </c>
      <c r="B422" s="1">
        <v>46094</v>
      </c>
      <c r="C422" s="1">
        <v>46095</v>
      </c>
      <c r="D422" s="1">
        <v>46098</v>
      </c>
      <c r="E422" t="s">
        <v>111</v>
      </c>
      <c r="F422" t="s">
        <v>27</v>
      </c>
      <c r="G422" t="s">
        <v>112</v>
      </c>
      <c r="H422">
        <v>1524</v>
      </c>
      <c r="I422" t="s">
        <v>87</v>
      </c>
      <c r="J422">
        <v>4</v>
      </c>
      <c r="K422">
        <v>10668</v>
      </c>
      <c r="L422">
        <v>7</v>
      </c>
      <c r="M422" t="s">
        <v>147</v>
      </c>
      <c r="N422">
        <v>1</v>
      </c>
      <c r="O422">
        <v>3.5</v>
      </c>
      <c r="P422" t="s">
        <v>66</v>
      </c>
      <c r="Q422" t="s">
        <v>33</v>
      </c>
      <c r="R422" t="s">
        <v>54</v>
      </c>
      <c r="S422">
        <v>3</v>
      </c>
      <c r="T422">
        <v>3</v>
      </c>
      <c r="U422">
        <v>0</v>
      </c>
      <c r="V422" t="s">
        <v>35</v>
      </c>
      <c r="W422" t="s">
        <v>55</v>
      </c>
      <c r="X422" t="s">
        <v>95</v>
      </c>
      <c r="Y422" t="s">
        <v>38</v>
      </c>
      <c r="Z422">
        <v>3.1</v>
      </c>
      <c r="AA422">
        <f t="shared" si="18"/>
        <v>7</v>
      </c>
      <c r="AB422" t="str">
        <f t="shared" si="19"/>
        <v>No</v>
      </c>
      <c r="AC422" t="str">
        <f t="shared" si="20"/>
        <v>Efficient</v>
      </c>
    </row>
    <row r="423" spans="1:29" x14ac:dyDescent="0.3">
      <c r="A423" t="s">
        <v>544</v>
      </c>
      <c r="B423" s="1">
        <v>46137</v>
      </c>
      <c r="C423" s="1">
        <v>46137</v>
      </c>
      <c r="D423" s="1">
        <v>46142</v>
      </c>
      <c r="E423" t="s">
        <v>49</v>
      </c>
      <c r="F423" t="s">
        <v>50</v>
      </c>
      <c r="G423" t="s">
        <v>51</v>
      </c>
      <c r="H423">
        <v>1432</v>
      </c>
      <c r="I423" t="s">
        <v>30</v>
      </c>
      <c r="J423">
        <v>2</v>
      </c>
      <c r="K423">
        <v>12888</v>
      </c>
      <c r="L423">
        <v>7</v>
      </c>
      <c r="M423" t="s">
        <v>103</v>
      </c>
      <c r="N423">
        <v>11</v>
      </c>
      <c r="O423">
        <v>4.8</v>
      </c>
      <c r="P423" t="s">
        <v>53</v>
      </c>
      <c r="Q423" t="s">
        <v>33</v>
      </c>
      <c r="R423" t="s">
        <v>67</v>
      </c>
      <c r="S423">
        <v>3</v>
      </c>
      <c r="T423">
        <v>5</v>
      </c>
      <c r="U423">
        <v>2</v>
      </c>
      <c r="V423" t="s">
        <v>46</v>
      </c>
      <c r="W423" t="s">
        <v>55</v>
      </c>
      <c r="X423" t="s">
        <v>76</v>
      </c>
      <c r="Y423" t="s">
        <v>38</v>
      </c>
      <c r="Z423">
        <v>4</v>
      </c>
      <c r="AA423">
        <f t="shared" si="18"/>
        <v>9</v>
      </c>
      <c r="AB423" t="str">
        <f t="shared" si="19"/>
        <v>Yes</v>
      </c>
      <c r="AC423" t="str">
        <f t="shared" si="20"/>
        <v>Needs Improvement</v>
      </c>
    </row>
    <row r="424" spans="1:29" x14ac:dyDescent="0.3">
      <c r="A424" t="s">
        <v>545</v>
      </c>
      <c r="B424" s="1">
        <v>46129</v>
      </c>
      <c r="C424" s="1">
        <v>46131</v>
      </c>
      <c r="D424" s="1">
        <v>46134</v>
      </c>
      <c r="E424" t="s">
        <v>57</v>
      </c>
      <c r="F424" t="s">
        <v>58</v>
      </c>
      <c r="G424" t="s">
        <v>59</v>
      </c>
      <c r="H424">
        <v>1216</v>
      </c>
      <c r="I424" t="s">
        <v>87</v>
      </c>
      <c r="J424">
        <v>4</v>
      </c>
      <c r="K424">
        <v>12160</v>
      </c>
      <c r="L424">
        <v>5</v>
      </c>
      <c r="M424" t="s">
        <v>170</v>
      </c>
      <c r="N424">
        <v>13</v>
      </c>
      <c r="O424">
        <v>3.6</v>
      </c>
      <c r="P424" t="s">
        <v>53</v>
      </c>
      <c r="Q424" t="s">
        <v>33</v>
      </c>
      <c r="R424" t="s">
        <v>54</v>
      </c>
      <c r="S424">
        <v>2</v>
      </c>
      <c r="T424">
        <v>3</v>
      </c>
      <c r="U424">
        <v>1</v>
      </c>
      <c r="V424" t="s">
        <v>46</v>
      </c>
      <c r="W424" t="s">
        <v>36</v>
      </c>
      <c r="X424" t="s">
        <v>63</v>
      </c>
      <c r="Y424" t="s">
        <v>38</v>
      </c>
      <c r="Z424">
        <v>3.4</v>
      </c>
      <c r="AA424">
        <f t="shared" si="18"/>
        <v>10</v>
      </c>
      <c r="AB424" t="str">
        <f t="shared" si="19"/>
        <v>Yes</v>
      </c>
      <c r="AC424" t="str">
        <f t="shared" si="20"/>
        <v>Needs Improvement</v>
      </c>
    </row>
    <row r="425" spans="1:29" x14ac:dyDescent="0.3">
      <c r="A425" t="s">
        <v>546</v>
      </c>
      <c r="B425" s="1">
        <v>46058</v>
      </c>
      <c r="C425" s="1">
        <v>46059</v>
      </c>
      <c r="D425" s="1">
        <v>46062</v>
      </c>
      <c r="E425" t="s">
        <v>111</v>
      </c>
      <c r="F425" t="s">
        <v>27</v>
      </c>
      <c r="G425" t="s">
        <v>112</v>
      </c>
      <c r="H425">
        <v>720</v>
      </c>
      <c r="I425" t="s">
        <v>87</v>
      </c>
      <c r="J425">
        <v>8</v>
      </c>
      <c r="K425">
        <v>7200</v>
      </c>
      <c r="L425">
        <v>7</v>
      </c>
      <c r="M425" t="s">
        <v>65</v>
      </c>
      <c r="N425">
        <v>2</v>
      </c>
      <c r="O425">
        <v>3.6</v>
      </c>
      <c r="P425" t="s">
        <v>53</v>
      </c>
      <c r="Q425" t="s">
        <v>62</v>
      </c>
      <c r="R425" t="s">
        <v>54</v>
      </c>
      <c r="S425">
        <v>1</v>
      </c>
      <c r="T425">
        <v>3</v>
      </c>
      <c r="U425">
        <v>2</v>
      </c>
      <c r="V425" t="s">
        <v>46</v>
      </c>
      <c r="W425" t="s">
        <v>36</v>
      </c>
      <c r="X425" t="s">
        <v>47</v>
      </c>
      <c r="Y425" t="s">
        <v>62</v>
      </c>
      <c r="Z425">
        <v>4.4000000000000004</v>
      </c>
      <c r="AA425">
        <f t="shared" si="18"/>
        <v>10</v>
      </c>
      <c r="AB425" t="str">
        <f t="shared" si="19"/>
        <v>Yes</v>
      </c>
      <c r="AC425" t="str">
        <f t="shared" si="20"/>
        <v>Needs Improvement</v>
      </c>
    </row>
    <row r="426" spans="1:29" x14ac:dyDescent="0.3">
      <c r="A426" t="s">
        <v>547</v>
      </c>
      <c r="B426" s="1">
        <v>46128</v>
      </c>
      <c r="C426" s="1">
        <v>46129</v>
      </c>
      <c r="D426" s="1">
        <v>46132</v>
      </c>
      <c r="E426" t="s">
        <v>27</v>
      </c>
      <c r="F426" t="s">
        <v>28</v>
      </c>
      <c r="G426" t="s">
        <v>29</v>
      </c>
      <c r="H426">
        <v>1521</v>
      </c>
      <c r="I426" t="s">
        <v>87</v>
      </c>
      <c r="J426">
        <v>1</v>
      </c>
      <c r="K426">
        <v>16731</v>
      </c>
      <c r="L426">
        <v>10</v>
      </c>
      <c r="M426" t="s">
        <v>125</v>
      </c>
      <c r="N426">
        <v>5</v>
      </c>
      <c r="O426">
        <v>4.0999999999999996</v>
      </c>
      <c r="P426" t="s">
        <v>66</v>
      </c>
      <c r="Q426" t="s">
        <v>33</v>
      </c>
      <c r="R426" t="s">
        <v>54</v>
      </c>
      <c r="S426">
        <v>3</v>
      </c>
      <c r="T426">
        <v>3</v>
      </c>
      <c r="U426">
        <v>0</v>
      </c>
      <c r="V426" t="s">
        <v>35</v>
      </c>
      <c r="W426" t="s">
        <v>55</v>
      </c>
      <c r="X426" t="s">
        <v>37</v>
      </c>
      <c r="Y426" t="s">
        <v>62</v>
      </c>
      <c r="Z426">
        <v>3.8</v>
      </c>
      <c r="AA426">
        <f t="shared" si="18"/>
        <v>11</v>
      </c>
      <c r="AB426" t="str">
        <f t="shared" si="19"/>
        <v>No</v>
      </c>
      <c r="AC426" t="str">
        <f t="shared" si="20"/>
        <v>Efficient</v>
      </c>
    </row>
    <row r="427" spans="1:29" x14ac:dyDescent="0.3">
      <c r="A427" t="s">
        <v>548</v>
      </c>
      <c r="B427" s="1">
        <v>46139</v>
      </c>
      <c r="C427" s="1">
        <v>46140</v>
      </c>
      <c r="D427" s="1">
        <v>46141</v>
      </c>
      <c r="E427" t="s">
        <v>57</v>
      </c>
      <c r="F427" t="s">
        <v>58</v>
      </c>
      <c r="G427" t="s">
        <v>59</v>
      </c>
      <c r="H427">
        <v>816</v>
      </c>
      <c r="I427" t="s">
        <v>87</v>
      </c>
      <c r="J427">
        <v>4</v>
      </c>
      <c r="K427">
        <v>6528</v>
      </c>
      <c r="L427">
        <v>6</v>
      </c>
      <c r="M427" t="s">
        <v>101</v>
      </c>
      <c r="N427">
        <v>15</v>
      </c>
      <c r="O427">
        <v>3.9</v>
      </c>
      <c r="P427" t="s">
        <v>66</v>
      </c>
      <c r="Q427" t="s">
        <v>33</v>
      </c>
      <c r="R427" t="s">
        <v>34</v>
      </c>
      <c r="S427">
        <v>1</v>
      </c>
      <c r="T427">
        <v>1</v>
      </c>
      <c r="U427">
        <v>0</v>
      </c>
      <c r="V427" t="s">
        <v>35</v>
      </c>
      <c r="W427" t="s">
        <v>68</v>
      </c>
      <c r="X427" t="s">
        <v>95</v>
      </c>
      <c r="Y427" t="s">
        <v>33</v>
      </c>
      <c r="Z427">
        <v>3.8</v>
      </c>
      <c r="AA427">
        <f t="shared" si="18"/>
        <v>8</v>
      </c>
      <c r="AB427" t="str">
        <f t="shared" si="19"/>
        <v>No</v>
      </c>
      <c r="AC427" t="str">
        <f t="shared" si="20"/>
        <v>Efficient</v>
      </c>
    </row>
    <row r="428" spans="1:29" x14ac:dyDescent="0.3">
      <c r="A428" t="s">
        <v>549</v>
      </c>
      <c r="B428" s="1">
        <v>46130</v>
      </c>
      <c r="C428" s="1">
        <v>46131</v>
      </c>
      <c r="D428" s="1">
        <v>46132</v>
      </c>
      <c r="E428" t="s">
        <v>111</v>
      </c>
      <c r="F428" t="s">
        <v>27</v>
      </c>
      <c r="G428" t="s">
        <v>112</v>
      </c>
      <c r="H428">
        <v>405</v>
      </c>
      <c r="I428" t="s">
        <v>60</v>
      </c>
      <c r="J428">
        <v>5</v>
      </c>
      <c r="K428">
        <v>4050</v>
      </c>
      <c r="L428">
        <v>5</v>
      </c>
      <c r="M428" t="s">
        <v>178</v>
      </c>
      <c r="N428">
        <v>7</v>
      </c>
      <c r="O428">
        <v>4.2</v>
      </c>
      <c r="P428" t="s">
        <v>66</v>
      </c>
      <c r="Q428" t="s">
        <v>62</v>
      </c>
      <c r="R428" t="s">
        <v>54</v>
      </c>
      <c r="S428">
        <v>1</v>
      </c>
      <c r="T428">
        <v>1</v>
      </c>
      <c r="U428">
        <v>0</v>
      </c>
      <c r="V428" t="s">
        <v>35</v>
      </c>
      <c r="W428" t="s">
        <v>55</v>
      </c>
      <c r="X428" t="s">
        <v>37</v>
      </c>
      <c r="Y428" t="s">
        <v>33</v>
      </c>
      <c r="Z428">
        <v>3.9</v>
      </c>
      <c r="AA428">
        <f t="shared" si="18"/>
        <v>10</v>
      </c>
      <c r="AB428" t="str">
        <f t="shared" si="19"/>
        <v>No</v>
      </c>
      <c r="AC428" t="str">
        <f t="shared" si="20"/>
        <v>Efficient</v>
      </c>
    </row>
    <row r="429" spans="1:29" x14ac:dyDescent="0.3">
      <c r="A429" t="s">
        <v>550</v>
      </c>
      <c r="B429" s="1">
        <v>46105</v>
      </c>
      <c r="C429" s="1">
        <v>46105</v>
      </c>
      <c r="D429" s="1">
        <v>46110</v>
      </c>
      <c r="E429" t="s">
        <v>27</v>
      </c>
      <c r="F429" t="s">
        <v>28</v>
      </c>
      <c r="G429" t="s">
        <v>29</v>
      </c>
      <c r="H429">
        <v>1020</v>
      </c>
      <c r="I429" t="s">
        <v>60</v>
      </c>
      <c r="J429">
        <v>5</v>
      </c>
      <c r="K429">
        <v>8160</v>
      </c>
      <c r="L429">
        <v>9</v>
      </c>
      <c r="M429" t="s">
        <v>109</v>
      </c>
      <c r="N429">
        <v>2</v>
      </c>
      <c r="O429">
        <v>3.3</v>
      </c>
      <c r="P429" t="s">
        <v>45</v>
      </c>
      <c r="Q429" t="s">
        <v>33</v>
      </c>
      <c r="R429" t="s">
        <v>54</v>
      </c>
      <c r="S429">
        <v>2</v>
      </c>
      <c r="T429">
        <v>5</v>
      </c>
      <c r="U429">
        <v>3</v>
      </c>
      <c r="V429" t="s">
        <v>46</v>
      </c>
      <c r="W429" t="s">
        <v>68</v>
      </c>
      <c r="X429" t="s">
        <v>37</v>
      </c>
      <c r="Y429" t="s">
        <v>62</v>
      </c>
      <c r="Z429">
        <v>3.3</v>
      </c>
      <c r="AA429">
        <f t="shared" si="18"/>
        <v>8</v>
      </c>
      <c r="AB429" t="str">
        <f t="shared" si="19"/>
        <v>Yes</v>
      </c>
      <c r="AC429" t="str">
        <f t="shared" si="20"/>
        <v>Needs Improvement</v>
      </c>
    </row>
    <row r="430" spans="1:29" x14ac:dyDescent="0.3">
      <c r="A430" t="s">
        <v>551</v>
      </c>
      <c r="B430" s="1">
        <v>46098</v>
      </c>
      <c r="C430" s="1">
        <v>46099</v>
      </c>
      <c r="D430" s="1">
        <v>46101</v>
      </c>
      <c r="E430" t="s">
        <v>57</v>
      </c>
      <c r="F430" t="s">
        <v>58</v>
      </c>
      <c r="G430" t="s">
        <v>59</v>
      </c>
      <c r="H430">
        <v>606</v>
      </c>
      <c r="I430" t="s">
        <v>87</v>
      </c>
      <c r="J430">
        <v>7</v>
      </c>
      <c r="K430">
        <v>4848</v>
      </c>
      <c r="L430">
        <v>6</v>
      </c>
      <c r="M430" t="s">
        <v>205</v>
      </c>
      <c r="N430">
        <v>15</v>
      </c>
      <c r="O430">
        <v>3.8</v>
      </c>
      <c r="P430" t="s">
        <v>45</v>
      </c>
      <c r="Q430" t="s">
        <v>38</v>
      </c>
      <c r="R430" t="s">
        <v>67</v>
      </c>
      <c r="S430">
        <v>1</v>
      </c>
      <c r="T430">
        <v>2</v>
      </c>
      <c r="U430">
        <v>1</v>
      </c>
      <c r="V430" t="s">
        <v>46</v>
      </c>
      <c r="W430" t="s">
        <v>36</v>
      </c>
      <c r="X430" t="s">
        <v>95</v>
      </c>
      <c r="Y430" t="s">
        <v>38</v>
      </c>
      <c r="Z430">
        <v>3.5</v>
      </c>
      <c r="AA430">
        <f t="shared" si="18"/>
        <v>8</v>
      </c>
      <c r="AB430" t="str">
        <f t="shared" si="19"/>
        <v>Yes</v>
      </c>
      <c r="AC430" t="str">
        <f t="shared" si="20"/>
        <v>Needs Improvement</v>
      </c>
    </row>
    <row r="431" spans="1:29" x14ac:dyDescent="0.3">
      <c r="A431" t="s">
        <v>552</v>
      </c>
      <c r="B431" s="1">
        <v>46132</v>
      </c>
      <c r="C431" s="1">
        <v>46132</v>
      </c>
      <c r="D431" s="1">
        <v>46137</v>
      </c>
      <c r="E431" t="s">
        <v>27</v>
      </c>
      <c r="F431" t="s">
        <v>28</v>
      </c>
      <c r="G431" t="s">
        <v>29</v>
      </c>
      <c r="H431">
        <v>1021</v>
      </c>
      <c r="I431" t="s">
        <v>43</v>
      </c>
      <c r="J431">
        <v>10</v>
      </c>
      <c r="K431">
        <v>8168</v>
      </c>
      <c r="L431">
        <v>6</v>
      </c>
      <c r="M431" t="s">
        <v>109</v>
      </c>
      <c r="N431">
        <v>6</v>
      </c>
      <c r="O431">
        <v>3.3</v>
      </c>
      <c r="P431" t="s">
        <v>32</v>
      </c>
      <c r="Q431" t="s">
        <v>38</v>
      </c>
      <c r="R431" t="s">
        <v>54</v>
      </c>
      <c r="S431">
        <v>2</v>
      </c>
      <c r="T431">
        <v>5</v>
      </c>
      <c r="U431">
        <v>3</v>
      </c>
      <c r="V431" t="s">
        <v>46</v>
      </c>
      <c r="W431" t="s">
        <v>68</v>
      </c>
      <c r="X431" t="s">
        <v>95</v>
      </c>
      <c r="Y431" t="s">
        <v>38</v>
      </c>
      <c r="Z431">
        <v>3.4</v>
      </c>
      <c r="AA431">
        <f t="shared" si="18"/>
        <v>8</v>
      </c>
      <c r="AB431" t="str">
        <f t="shared" si="19"/>
        <v>Yes</v>
      </c>
      <c r="AC431" t="str">
        <f t="shared" si="20"/>
        <v>Needs Improvement</v>
      </c>
    </row>
    <row r="432" spans="1:29" x14ac:dyDescent="0.3">
      <c r="A432" t="s">
        <v>553</v>
      </c>
      <c r="B432" s="1">
        <v>46049</v>
      </c>
      <c r="C432" s="1">
        <v>46049</v>
      </c>
      <c r="D432" s="1">
        <v>46051</v>
      </c>
      <c r="E432" t="s">
        <v>57</v>
      </c>
      <c r="F432" t="s">
        <v>58</v>
      </c>
      <c r="G432" t="s">
        <v>59</v>
      </c>
      <c r="H432">
        <v>789</v>
      </c>
      <c r="I432" t="s">
        <v>43</v>
      </c>
      <c r="J432">
        <v>7</v>
      </c>
      <c r="K432">
        <v>5523</v>
      </c>
      <c r="L432">
        <v>8</v>
      </c>
      <c r="M432" t="s">
        <v>90</v>
      </c>
      <c r="N432">
        <v>10</v>
      </c>
      <c r="O432">
        <v>3.4</v>
      </c>
      <c r="P432" t="s">
        <v>66</v>
      </c>
      <c r="Q432" t="s">
        <v>33</v>
      </c>
      <c r="R432" t="s">
        <v>54</v>
      </c>
      <c r="S432">
        <v>1</v>
      </c>
      <c r="T432">
        <v>2</v>
      </c>
      <c r="U432">
        <v>1</v>
      </c>
      <c r="V432" t="s">
        <v>46</v>
      </c>
      <c r="W432" t="s">
        <v>68</v>
      </c>
      <c r="X432" t="s">
        <v>37</v>
      </c>
      <c r="Y432" t="s">
        <v>38</v>
      </c>
      <c r="Z432">
        <v>3.6</v>
      </c>
      <c r="AA432">
        <f t="shared" si="18"/>
        <v>7</v>
      </c>
      <c r="AB432" t="str">
        <f t="shared" si="19"/>
        <v>Yes</v>
      </c>
      <c r="AC432" t="str">
        <f t="shared" si="20"/>
        <v>Needs Improvement</v>
      </c>
    </row>
    <row r="433" spans="1:29" x14ac:dyDescent="0.3">
      <c r="A433" t="s">
        <v>554</v>
      </c>
      <c r="B433" s="1">
        <v>46056</v>
      </c>
      <c r="C433" s="1">
        <v>46056</v>
      </c>
      <c r="D433" s="1">
        <v>46058</v>
      </c>
      <c r="E433" t="s">
        <v>92</v>
      </c>
      <c r="F433" t="s">
        <v>93</v>
      </c>
      <c r="G433" t="s">
        <v>94</v>
      </c>
      <c r="H433">
        <v>708</v>
      </c>
      <c r="I433" t="s">
        <v>30</v>
      </c>
      <c r="J433">
        <v>10</v>
      </c>
      <c r="K433">
        <v>7788</v>
      </c>
      <c r="L433">
        <v>10</v>
      </c>
      <c r="M433" t="s">
        <v>61</v>
      </c>
      <c r="N433">
        <v>2</v>
      </c>
      <c r="O433">
        <v>3</v>
      </c>
      <c r="P433" t="s">
        <v>45</v>
      </c>
      <c r="Q433" t="s">
        <v>62</v>
      </c>
      <c r="R433" t="s">
        <v>54</v>
      </c>
      <c r="S433">
        <v>1</v>
      </c>
      <c r="T433">
        <v>2</v>
      </c>
      <c r="U433">
        <v>1</v>
      </c>
      <c r="V433" t="s">
        <v>46</v>
      </c>
      <c r="W433" t="s">
        <v>55</v>
      </c>
      <c r="X433" t="s">
        <v>95</v>
      </c>
      <c r="Y433" t="s">
        <v>33</v>
      </c>
      <c r="Z433">
        <v>3.8</v>
      </c>
      <c r="AA433">
        <f t="shared" si="18"/>
        <v>11</v>
      </c>
      <c r="AB433" t="str">
        <f t="shared" si="19"/>
        <v>Yes</v>
      </c>
      <c r="AC433" t="str">
        <f t="shared" si="20"/>
        <v>Needs Improvement</v>
      </c>
    </row>
    <row r="434" spans="1:29" x14ac:dyDescent="0.3">
      <c r="A434" t="s">
        <v>555</v>
      </c>
      <c r="B434" s="1">
        <v>46099</v>
      </c>
      <c r="C434" s="1">
        <v>46100</v>
      </c>
      <c r="D434" s="1">
        <v>46102</v>
      </c>
      <c r="E434" t="s">
        <v>72</v>
      </c>
      <c r="F434" t="s">
        <v>73</v>
      </c>
      <c r="G434" t="s">
        <v>74</v>
      </c>
      <c r="H434">
        <v>395</v>
      </c>
      <c r="I434" t="s">
        <v>87</v>
      </c>
      <c r="J434">
        <v>1</v>
      </c>
      <c r="K434">
        <v>3160</v>
      </c>
      <c r="L434">
        <v>6</v>
      </c>
      <c r="M434" t="s">
        <v>116</v>
      </c>
      <c r="N434">
        <v>15</v>
      </c>
      <c r="O434">
        <v>3.7</v>
      </c>
      <c r="P434" t="s">
        <v>32</v>
      </c>
      <c r="Q434" t="s">
        <v>38</v>
      </c>
      <c r="R434" t="s">
        <v>34</v>
      </c>
      <c r="S434">
        <v>1</v>
      </c>
      <c r="T434">
        <v>2</v>
      </c>
      <c r="U434">
        <v>1</v>
      </c>
      <c r="V434" t="s">
        <v>46</v>
      </c>
      <c r="W434" t="s">
        <v>68</v>
      </c>
      <c r="X434" t="s">
        <v>95</v>
      </c>
      <c r="Y434" t="s">
        <v>33</v>
      </c>
      <c r="Z434">
        <v>3.7</v>
      </c>
      <c r="AA434">
        <f t="shared" si="18"/>
        <v>8</v>
      </c>
      <c r="AB434" t="str">
        <f t="shared" si="19"/>
        <v>Yes</v>
      </c>
      <c r="AC434" t="str">
        <f t="shared" si="20"/>
        <v>Needs Improvement</v>
      </c>
    </row>
    <row r="435" spans="1:29" x14ac:dyDescent="0.3">
      <c r="A435" t="s">
        <v>556</v>
      </c>
      <c r="B435" s="1">
        <v>46137</v>
      </c>
      <c r="C435" s="1">
        <v>46139</v>
      </c>
      <c r="D435" s="1">
        <v>46144</v>
      </c>
      <c r="E435" t="s">
        <v>27</v>
      </c>
      <c r="F435" t="s">
        <v>28</v>
      </c>
      <c r="G435" t="s">
        <v>29</v>
      </c>
      <c r="H435">
        <v>1388</v>
      </c>
      <c r="I435" t="s">
        <v>60</v>
      </c>
      <c r="J435">
        <v>5</v>
      </c>
      <c r="K435">
        <v>9716</v>
      </c>
      <c r="L435">
        <v>9</v>
      </c>
      <c r="M435" t="s">
        <v>153</v>
      </c>
      <c r="N435">
        <v>15</v>
      </c>
      <c r="O435">
        <v>3.7</v>
      </c>
      <c r="P435" t="s">
        <v>53</v>
      </c>
      <c r="Q435" t="s">
        <v>38</v>
      </c>
      <c r="R435" t="s">
        <v>67</v>
      </c>
      <c r="S435">
        <v>3</v>
      </c>
      <c r="T435">
        <v>5</v>
      </c>
      <c r="U435">
        <v>2</v>
      </c>
      <c r="V435" t="s">
        <v>46</v>
      </c>
      <c r="W435" t="s">
        <v>55</v>
      </c>
      <c r="X435" t="s">
        <v>95</v>
      </c>
      <c r="Y435" t="s">
        <v>38</v>
      </c>
      <c r="Z435">
        <v>3.5</v>
      </c>
      <c r="AA435">
        <f t="shared" si="18"/>
        <v>7</v>
      </c>
      <c r="AB435" t="str">
        <f t="shared" si="19"/>
        <v>Yes</v>
      </c>
      <c r="AC435" t="str">
        <f t="shared" si="20"/>
        <v>Needs Improvement</v>
      </c>
    </row>
    <row r="436" spans="1:29" x14ac:dyDescent="0.3">
      <c r="A436" t="s">
        <v>557</v>
      </c>
      <c r="B436" s="1">
        <v>46063</v>
      </c>
      <c r="C436" s="1">
        <v>46063</v>
      </c>
      <c r="D436" s="1">
        <v>46067</v>
      </c>
      <c r="E436" t="s">
        <v>82</v>
      </c>
      <c r="F436" t="s">
        <v>83</v>
      </c>
      <c r="G436" t="s">
        <v>84</v>
      </c>
      <c r="H436">
        <v>1222</v>
      </c>
      <c r="I436" t="s">
        <v>30</v>
      </c>
      <c r="J436">
        <v>6</v>
      </c>
      <c r="K436">
        <v>10998</v>
      </c>
      <c r="L436">
        <v>7</v>
      </c>
      <c r="M436" t="s">
        <v>243</v>
      </c>
      <c r="N436">
        <v>10</v>
      </c>
      <c r="O436">
        <v>4.7</v>
      </c>
      <c r="P436" t="s">
        <v>66</v>
      </c>
      <c r="Q436" t="s">
        <v>33</v>
      </c>
      <c r="R436" t="s">
        <v>34</v>
      </c>
      <c r="S436">
        <v>2</v>
      </c>
      <c r="T436">
        <v>4</v>
      </c>
      <c r="U436">
        <v>2</v>
      </c>
      <c r="V436" t="s">
        <v>46</v>
      </c>
      <c r="W436" t="s">
        <v>55</v>
      </c>
      <c r="X436" t="s">
        <v>95</v>
      </c>
      <c r="Y436" t="s">
        <v>38</v>
      </c>
      <c r="Z436">
        <v>4.0999999999999996</v>
      </c>
      <c r="AA436">
        <f t="shared" si="18"/>
        <v>9</v>
      </c>
      <c r="AB436" t="str">
        <f t="shared" si="19"/>
        <v>Yes</v>
      </c>
      <c r="AC436" t="str">
        <f t="shared" si="20"/>
        <v>Needs Improvement</v>
      </c>
    </row>
    <row r="437" spans="1:29" x14ac:dyDescent="0.3">
      <c r="A437" t="s">
        <v>558</v>
      </c>
      <c r="B437" s="1">
        <v>46141</v>
      </c>
      <c r="C437" s="1">
        <v>46143</v>
      </c>
      <c r="D437" s="1">
        <v>46147</v>
      </c>
      <c r="E437" t="s">
        <v>92</v>
      </c>
      <c r="F437" t="s">
        <v>93</v>
      </c>
      <c r="G437" t="s">
        <v>94</v>
      </c>
      <c r="H437">
        <v>308</v>
      </c>
      <c r="I437" t="s">
        <v>60</v>
      </c>
      <c r="J437">
        <v>3</v>
      </c>
      <c r="K437">
        <v>1848</v>
      </c>
      <c r="L437">
        <v>6</v>
      </c>
      <c r="M437" t="s">
        <v>283</v>
      </c>
      <c r="N437">
        <v>1</v>
      </c>
      <c r="O437">
        <v>3.9</v>
      </c>
      <c r="P437" t="s">
        <v>45</v>
      </c>
      <c r="Q437" t="s">
        <v>33</v>
      </c>
      <c r="R437" t="s">
        <v>34</v>
      </c>
      <c r="S437">
        <v>1</v>
      </c>
      <c r="T437">
        <v>4</v>
      </c>
      <c r="U437">
        <v>3</v>
      </c>
      <c r="V437" t="s">
        <v>46</v>
      </c>
      <c r="W437" t="s">
        <v>36</v>
      </c>
      <c r="X437" t="s">
        <v>95</v>
      </c>
      <c r="Y437" t="s">
        <v>62</v>
      </c>
      <c r="Z437">
        <v>5</v>
      </c>
      <c r="AA437">
        <f t="shared" si="18"/>
        <v>6</v>
      </c>
      <c r="AB437" t="str">
        <f t="shared" si="19"/>
        <v>Yes</v>
      </c>
      <c r="AC437" t="str">
        <f t="shared" si="20"/>
        <v>Needs Improvement</v>
      </c>
    </row>
    <row r="438" spans="1:29" x14ac:dyDescent="0.3">
      <c r="A438" t="s">
        <v>559</v>
      </c>
      <c r="B438" s="1">
        <v>46094</v>
      </c>
      <c r="C438" s="1">
        <v>46095</v>
      </c>
      <c r="D438" s="1">
        <v>46099</v>
      </c>
      <c r="E438" t="s">
        <v>92</v>
      </c>
      <c r="F438" t="s">
        <v>93</v>
      </c>
      <c r="G438" t="s">
        <v>94</v>
      </c>
      <c r="H438">
        <v>1209</v>
      </c>
      <c r="I438" t="s">
        <v>87</v>
      </c>
      <c r="J438">
        <v>3</v>
      </c>
      <c r="K438">
        <v>7254</v>
      </c>
      <c r="L438">
        <v>7</v>
      </c>
      <c r="M438" t="s">
        <v>109</v>
      </c>
      <c r="N438">
        <v>4</v>
      </c>
      <c r="O438">
        <v>4.7</v>
      </c>
      <c r="P438" t="s">
        <v>45</v>
      </c>
      <c r="Q438" t="s">
        <v>38</v>
      </c>
      <c r="R438" t="s">
        <v>54</v>
      </c>
      <c r="S438">
        <v>2</v>
      </c>
      <c r="T438">
        <v>4</v>
      </c>
      <c r="U438">
        <v>2</v>
      </c>
      <c r="V438" t="s">
        <v>46</v>
      </c>
      <c r="W438" t="s">
        <v>55</v>
      </c>
      <c r="X438" t="s">
        <v>76</v>
      </c>
      <c r="Y438" t="s">
        <v>38</v>
      </c>
      <c r="Z438">
        <v>4.2</v>
      </c>
      <c r="AA438">
        <f t="shared" si="18"/>
        <v>6</v>
      </c>
      <c r="AB438" t="str">
        <f t="shared" si="19"/>
        <v>Yes</v>
      </c>
      <c r="AC438" t="str">
        <f t="shared" si="20"/>
        <v>Needs Improvement</v>
      </c>
    </row>
    <row r="439" spans="1:29" x14ac:dyDescent="0.3">
      <c r="A439" t="s">
        <v>560</v>
      </c>
      <c r="B439" s="1">
        <v>46023</v>
      </c>
      <c r="C439" s="1">
        <v>46025</v>
      </c>
      <c r="D439" s="1">
        <v>46029</v>
      </c>
      <c r="E439" t="s">
        <v>82</v>
      </c>
      <c r="F439" t="s">
        <v>83</v>
      </c>
      <c r="G439" t="s">
        <v>84</v>
      </c>
      <c r="H439">
        <v>1052</v>
      </c>
      <c r="I439" t="s">
        <v>87</v>
      </c>
      <c r="J439">
        <v>4</v>
      </c>
      <c r="K439">
        <v>12624</v>
      </c>
      <c r="L439">
        <v>8</v>
      </c>
      <c r="M439" t="s">
        <v>123</v>
      </c>
      <c r="N439">
        <v>2</v>
      </c>
      <c r="O439">
        <v>4.8</v>
      </c>
      <c r="P439" t="s">
        <v>32</v>
      </c>
      <c r="Q439" t="s">
        <v>62</v>
      </c>
      <c r="R439" t="s">
        <v>54</v>
      </c>
      <c r="S439">
        <v>2</v>
      </c>
      <c r="T439">
        <v>4</v>
      </c>
      <c r="U439">
        <v>2</v>
      </c>
      <c r="V439" t="s">
        <v>46</v>
      </c>
      <c r="W439" t="s">
        <v>36</v>
      </c>
      <c r="X439" t="s">
        <v>95</v>
      </c>
      <c r="Y439" t="s">
        <v>62</v>
      </c>
      <c r="Z439">
        <v>4.2</v>
      </c>
      <c r="AA439">
        <f t="shared" si="18"/>
        <v>12</v>
      </c>
      <c r="AB439" t="str">
        <f t="shared" si="19"/>
        <v>Yes</v>
      </c>
      <c r="AC439" t="str">
        <f t="shared" si="20"/>
        <v>Needs Improvement</v>
      </c>
    </row>
    <row r="440" spans="1:29" x14ac:dyDescent="0.3">
      <c r="A440" t="s">
        <v>561</v>
      </c>
      <c r="B440" s="1">
        <v>46036</v>
      </c>
      <c r="C440" s="1">
        <v>46037</v>
      </c>
      <c r="D440" s="1">
        <v>46038</v>
      </c>
      <c r="E440" t="s">
        <v>82</v>
      </c>
      <c r="F440" t="s">
        <v>83</v>
      </c>
      <c r="G440" t="s">
        <v>84</v>
      </c>
      <c r="H440">
        <v>259</v>
      </c>
      <c r="I440" t="s">
        <v>87</v>
      </c>
      <c r="J440">
        <v>8</v>
      </c>
      <c r="K440">
        <v>3108</v>
      </c>
      <c r="L440">
        <v>10</v>
      </c>
      <c r="M440" t="s">
        <v>103</v>
      </c>
      <c r="N440">
        <v>8</v>
      </c>
      <c r="O440">
        <v>3.9</v>
      </c>
      <c r="P440" t="s">
        <v>66</v>
      </c>
      <c r="Q440" t="s">
        <v>33</v>
      </c>
      <c r="R440" t="s">
        <v>54</v>
      </c>
      <c r="S440">
        <v>1</v>
      </c>
      <c r="T440">
        <v>1</v>
      </c>
      <c r="U440">
        <v>0</v>
      </c>
      <c r="V440" t="s">
        <v>35</v>
      </c>
      <c r="W440" t="s">
        <v>55</v>
      </c>
      <c r="X440" t="s">
        <v>76</v>
      </c>
      <c r="Y440" t="s">
        <v>62</v>
      </c>
      <c r="Z440">
        <v>3.6</v>
      </c>
      <c r="AA440">
        <f t="shared" si="18"/>
        <v>12</v>
      </c>
      <c r="AB440" t="str">
        <f t="shared" si="19"/>
        <v>No</v>
      </c>
      <c r="AC440" t="str">
        <f t="shared" si="20"/>
        <v>Efficient</v>
      </c>
    </row>
    <row r="441" spans="1:29" x14ac:dyDescent="0.3">
      <c r="A441" t="s">
        <v>562</v>
      </c>
      <c r="B441" s="1">
        <v>46116</v>
      </c>
      <c r="C441" s="1">
        <v>46118</v>
      </c>
      <c r="D441" s="1">
        <v>46119</v>
      </c>
      <c r="E441" t="s">
        <v>82</v>
      </c>
      <c r="F441" t="s">
        <v>83</v>
      </c>
      <c r="G441" t="s">
        <v>84</v>
      </c>
      <c r="H441">
        <v>632</v>
      </c>
      <c r="I441" t="s">
        <v>87</v>
      </c>
      <c r="J441">
        <v>5</v>
      </c>
      <c r="K441">
        <v>5056</v>
      </c>
      <c r="L441">
        <v>5</v>
      </c>
      <c r="M441" t="s">
        <v>31</v>
      </c>
      <c r="N441">
        <v>2</v>
      </c>
      <c r="O441">
        <v>4.0999999999999996</v>
      </c>
      <c r="P441" t="s">
        <v>53</v>
      </c>
      <c r="Q441" t="s">
        <v>38</v>
      </c>
      <c r="R441" t="s">
        <v>34</v>
      </c>
      <c r="S441">
        <v>1</v>
      </c>
      <c r="T441">
        <v>1</v>
      </c>
      <c r="U441">
        <v>0</v>
      </c>
      <c r="V441" t="s">
        <v>35</v>
      </c>
      <c r="W441" t="s">
        <v>36</v>
      </c>
      <c r="X441" t="s">
        <v>95</v>
      </c>
      <c r="Y441" t="s">
        <v>38</v>
      </c>
      <c r="Z441">
        <v>3</v>
      </c>
      <c r="AA441">
        <f t="shared" si="18"/>
        <v>8</v>
      </c>
      <c r="AB441" t="str">
        <f t="shared" si="19"/>
        <v>No</v>
      </c>
      <c r="AC441" t="str">
        <f t="shared" si="20"/>
        <v>Efficient</v>
      </c>
    </row>
    <row r="442" spans="1:29" x14ac:dyDescent="0.3">
      <c r="A442" t="s">
        <v>563</v>
      </c>
      <c r="B442" s="1">
        <v>46049</v>
      </c>
      <c r="C442" s="1">
        <v>46049</v>
      </c>
      <c r="D442" s="1">
        <v>46052</v>
      </c>
      <c r="E442" t="s">
        <v>111</v>
      </c>
      <c r="F442" t="s">
        <v>27</v>
      </c>
      <c r="G442" t="s">
        <v>112</v>
      </c>
      <c r="H442">
        <v>1796</v>
      </c>
      <c r="I442" t="s">
        <v>43</v>
      </c>
      <c r="J442">
        <v>5</v>
      </c>
      <c r="K442">
        <v>19756</v>
      </c>
      <c r="L442">
        <v>10</v>
      </c>
      <c r="M442" t="s">
        <v>70</v>
      </c>
      <c r="N442">
        <v>2</v>
      </c>
      <c r="O442">
        <v>3.6</v>
      </c>
      <c r="P442" t="s">
        <v>53</v>
      </c>
      <c r="Q442" t="s">
        <v>33</v>
      </c>
      <c r="R442" t="s">
        <v>34</v>
      </c>
      <c r="S442">
        <v>3</v>
      </c>
      <c r="T442">
        <v>3</v>
      </c>
      <c r="U442">
        <v>0</v>
      </c>
      <c r="V442" t="s">
        <v>35</v>
      </c>
      <c r="W442" t="s">
        <v>68</v>
      </c>
      <c r="X442" t="s">
        <v>76</v>
      </c>
      <c r="Y442" t="s">
        <v>38</v>
      </c>
      <c r="Z442">
        <v>4</v>
      </c>
      <c r="AA442">
        <f t="shared" si="18"/>
        <v>11</v>
      </c>
      <c r="AB442" t="str">
        <f t="shared" si="19"/>
        <v>No</v>
      </c>
      <c r="AC442" t="str">
        <f t="shared" si="20"/>
        <v>Efficient</v>
      </c>
    </row>
    <row r="443" spans="1:29" x14ac:dyDescent="0.3">
      <c r="A443" t="s">
        <v>564</v>
      </c>
      <c r="B443" s="1">
        <v>46136</v>
      </c>
      <c r="C443" s="1">
        <v>46137</v>
      </c>
      <c r="D443" s="1">
        <v>46140</v>
      </c>
      <c r="E443" t="s">
        <v>92</v>
      </c>
      <c r="F443" t="s">
        <v>93</v>
      </c>
      <c r="G443" t="s">
        <v>94</v>
      </c>
      <c r="H443">
        <v>749</v>
      </c>
      <c r="I443" t="s">
        <v>43</v>
      </c>
      <c r="J443">
        <v>2</v>
      </c>
      <c r="K443">
        <v>8988</v>
      </c>
      <c r="L443">
        <v>8</v>
      </c>
      <c r="M443" t="s">
        <v>80</v>
      </c>
      <c r="N443">
        <v>10</v>
      </c>
      <c r="O443">
        <v>3.4</v>
      </c>
      <c r="P443" t="s">
        <v>53</v>
      </c>
      <c r="Q443" t="s">
        <v>38</v>
      </c>
      <c r="R443" t="s">
        <v>67</v>
      </c>
      <c r="S443">
        <v>1</v>
      </c>
      <c r="T443">
        <v>3</v>
      </c>
      <c r="U443">
        <v>2</v>
      </c>
      <c r="V443" t="s">
        <v>46</v>
      </c>
      <c r="W443" t="s">
        <v>68</v>
      </c>
      <c r="X443" t="s">
        <v>37</v>
      </c>
      <c r="Y443" t="s">
        <v>33</v>
      </c>
      <c r="Z443">
        <v>4.4000000000000004</v>
      </c>
      <c r="AA443">
        <f t="shared" si="18"/>
        <v>12</v>
      </c>
      <c r="AB443" t="str">
        <f t="shared" si="19"/>
        <v>Yes</v>
      </c>
      <c r="AC443" t="str">
        <f t="shared" si="20"/>
        <v>Needs Improvement</v>
      </c>
    </row>
    <row r="444" spans="1:29" x14ac:dyDescent="0.3">
      <c r="A444" t="s">
        <v>565</v>
      </c>
      <c r="B444" s="1">
        <v>46042</v>
      </c>
      <c r="C444" s="1">
        <v>46043</v>
      </c>
      <c r="D444" s="1">
        <v>46046</v>
      </c>
      <c r="E444" t="s">
        <v>72</v>
      </c>
      <c r="F444" t="s">
        <v>73</v>
      </c>
      <c r="G444" t="s">
        <v>74</v>
      </c>
      <c r="H444">
        <v>795</v>
      </c>
      <c r="I444" t="s">
        <v>43</v>
      </c>
      <c r="J444">
        <v>7</v>
      </c>
      <c r="K444">
        <v>4770</v>
      </c>
      <c r="L444">
        <v>8</v>
      </c>
      <c r="M444" t="s">
        <v>131</v>
      </c>
      <c r="N444">
        <v>3</v>
      </c>
      <c r="O444">
        <v>5</v>
      </c>
      <c r="P444" t="s">
        <v>66</v>
      </c>
      <c r="Q444" t="s">
        <v>38</v>
      </c>
      <c r="R444" t="s">
        <v>54</v>
      </c>
      <c r="S444">
        <v>1</v>
      </c>
      <c r="T444">
        <v>3</v>
      </c>
      <c r="U444">
        <v>2</v>
      </c>
      <c r="V444" t="s">
        <v>46</v>
      </c>
      <c r="W444" t="s">
        <v>55</v>
      </c>
      <c r="X444" t="s">
        <v>63</v>
      </c>
      <c r="Y444" t="s">
        <v>33</v>
      </c>
      <c r="Z444">
        <v>3.2</v>
      </c>
      <c r="AA444">
        <f t="shared" si="18"/>
        <v>6</v>
      </c>
      <c r="AB444" t="str">
        <f t="shared" si="19"/>
        <v>Yes</v>
      </c>
      <c r="AC444" t="str">
        <f t="shared" si="20"/>
        <v>Needs Improvement</v>
      </c>
    </row>
    <row r="445" spans="1:29" x14ac:dyDescent="0.3">
      <c r="A445" t="s">
        <v>566</v>
      </c>
      <c r="B445" s="1">
        <v>46028</v>
      </c>
      <c r="C445" s="1">
        <v>46030</v>
      </c>
      <c r="D445" s="1">
        <v>46032</v>
      </c>
      <c r="E445" t="s">
        <v>72</v>
      </c>
      <c r="F445" t="s">
        <v>73</v>
      </c>
      <c r="G445" t="s">
        <v>74</v>
      </c>
      <c r="H445">
        <v>1245</v>
      </c>
      <c r="I445" t="s">
        <v>43</v>
      </c>
      <c r="J445">
        <v>7</v>
      </c>
      <c r="K445">
        <v>7470</v>
      </c>
      <c r="L445">
        <v>8</v>
      </c>
      <c r="M445" t="s">
        <v>103</v>
      </c>
      <c r="N445">
        <v>12</v>
      </c>
      <c r="O445">
        <v>4.0999999999999996</v>
      </c>
      <c r="P445" t="s">
        <v>66</v>
      </c>
      <c r="Q445" t="s">
        <v>62</v>
      </c>
      <c r="R445" t="s">
        <v>34</v>
      </c>
      <c r="S445">
        <v>2</v>
      </c>
      <c r="T445">
        <v>2</v>
      </c>
      <c r="U445">
        <v>0</v>
      </c>
      <c r="V445" t="s">
        <v>35</v>
      </c>
      <c r="W445" t="s">
        <v>55</v>
      </c>
      <c r="X445" t="s">
        <v>63</v>
      </c>
      <c r="Y445" t="s">
        <v>38</v>
      </c>
      <c r="Z445">
        <v>4.5</v>
      </c>
      <c r="AA445">
        <f t="shared" si="18"/>
        <v>6</v>
      </c>
      <c r="AB445" t="str">
        <f t="shared" si="19"/>
        <v>No</v>
      </c>
      <c r="AC445" t="str">
        <f t="shared" si="20"/>
        <v>Efficient</v>
      </c>
    </row>
    <row r="446" spans="1:29" x14ac:dyDescent="0.3">
      <c r="A446" t="s">
        <v>567</v>
      </c>
      <c r="B446" s="1">
        <v>46082</v>
      </c>
      <c r="C446" s="1">
        <v>46082</v>
      </c>
      <c r="D446" s="1">
        <v>46085</v>
      </c>
      <c r="E446" t="s">
        <v>82</v>
      </c>
      <c r="F446" t="s">
        <v>83</v>
      </c>
      <c r="G446" t="s">
        <v>84</v>
      </c>
      <c r="H446">
        <v>1004</v>
      </c>
      <c r="I446" t="s">
        <v>87</v>
      </c>
      <c r="J446">
        <v>2</v>
      </c>
      <c r="K446">
        <v>9036</v>
      </c>
      <c r="L446">
        <v>10</v>
      </c>
      <c r="M446" t="s">
        <v>131</v>
      </c>
      <c r="N446">
        <v>6</v>
      </c>
      <c r="O446">
        <v>4.2</v>
      </c>
      <c r="P446" t="s">
        <v>53</v>
      </c>
      <c r="Q446" t="s">
        <v>33</v>
      </c>
      <c r="R446" t="s">
        <v>34</v>
      </c>
      <c r="S446">
        <v>2</v>
      </c>
      <c r="T446">
        <v>3</v>
      </c>
      <c r="U446">
        <v>1</v>
      </c>
      <c r="V446" t="s">
        <v>46</v>
      </c>
      <c r="W446" t="s">
        <v>36</v>
      </c>
      <c r="X446" t="s">
        <v>37</v>
      </c>
      <c r="Y446" t="s">
        <v>38</v>
      </c>
      <c r="Z446">
        <v>4.5</v>
      </c>
      <c r="AA446">
        <f t="shared" si="18"/>
        <v>9</v>
      </c>
      <c r="AB446" t="str">
        <f t="shared" si="19"/>
        <v>Yes</v>
      </c>
      <c r="AC446" t="str">
        <f t="shared" si="20"/>
        <v>Needs Improvement</v>
      </c>
    </row>
    <row r="447" spans="1:29" x14ac:dyDescent="0.3">
      <c r="A447" t="s">
        <v>568</v>
      </c>
      <c r="B447" s="1">
        <v>46100</v>
      </c>
      <c r="C447" s="1">
        <v>46101</v>
      </c>
      <c r="D447" s="1">
        <v>46107</v>
      </c>
      <c r="E447" t="s">
        <v>72</v>
      </c>
      <c r="F447" t="s">
        <v>73</v>
      </c>
      <c r="G447" t="s">
        <v>74</v>
      </c>
      <c r="H447">
        <v>1088</v>
      </c>
      <c r="I447" t="s">
        <v>87</v>
      </c>
      <c r="J447">
        <v>1</v>
      </c>
      <c r="K447">
        <v>9792</v>
      </c>
      <c r="L447">
        <v>5</v>
      </c>
      <c r="M447" t="s">
        <v>158</v>
      </c>
      <c r="N447">
        <v>3</v>
      </c>
      <c r="O447">
        <v>4.3</v>
      </c>
      <c r="P447" t="s">
        <v>53</v>
      </c>
      <c r="Q447" t="s">
        <v>33</v>
      </c>
      <c r="R447" t="s">
        <v>34</v>
      </c>
      <c r="S447">
        <v>2</v>
      </c>
      <c r="T447">
        <v>6</v>
      </c>
      <c r="U447">
        <v>4</v>
      </c>
      <c r="V447" t="s">
        <v>46</v>
      </c>
      <c r="W447" t="s">
        <v>55</v>
      </c>
      <c r="X447" t="s">
        <v>47</v>
      </c>
      <c r="Y447" t="s">
        <v>33</v>
      </c>
      <c r="Z447">
        <v>4.3</v>
      </c>
      <c r="AA447">
        <f t="shared" si="18"/>
        <v>9</v>
      </c>
      <c r="AB447" t="str">
        <f t="shared" si="19"/>
        <v>Yes</v>
      </c>
      <c r="AC447" t="str">
        <f t="shared" si="20"/>
        <v>Needs Improvement</v>
      </c>
    </row>
    <row r="448" spans="1:29" x14ac:dyDescent="0.3">
      <c r="A448" t="s">
        <v>569</v>
      </c>
      <c r="B448" s="1">
        <v>46111</v>
      </c>
      <c r="C448" s="1">
        <v>46113</v>
      </c>
      <c r="D448" s="1">
        <v>46116</v>
      </c>
      <c r="E448" t="s">
        <v>111</v>
      </c>
      <c r="F448" t="s">
        <v>27</v>
      </c>
      <c r="G448" t="s">
        <v>112</v>
      </c>
      <c r="H448">
        <v>819</v>
      </c>
      <c r="I448" t="s">
        <v>87</v>
      </c>
      <c r="J448">
        <v>3</v>
      </c>
      <c r="K448">
        <v>5733</v>
      </c>
      <c r="L448">
        <v>5</v>
      </c>
      <c r="M448" t="s">
        <v>160</v>
      </c>
      <c r="N448">
        <v>2</v>
      </c>
      <c r="O448">
        <v>4.5999999999999996</v>
      </c>
      <c r="P448" t="s">
        <v>45</v>
      </c>
      <c r="Q448" t="s">
        <v>38</v>
      </c>
      <c r="R448" t="s">
        <v>67</v>
      </c>
      <c r="S448">
        <v>1</v>
      </c>
      <c r="T448">
        <v>3</v>
      </c>
      <c r="U448">
        <v>2</v>
      </c>
      <c r="V448" t="s">
        <v>46</v>
      </c>
      <c r="W448" t="s">
        <v>36</v>
      </c>
      <c r="X448" t="s">
        <v>37</v>
      </c>
      <c r="Y448" t="s">
        <v>62</v>
      </c>
      <c r="Z448">
        <v>4.7</v>
      </c>
      <c r="AA448">
        <f t="shared" si="18"/>
        <v>7</v>
      </c>
      <c r="AB448" t="str">
        <f t="shared" si="19"/>
        <v>Yes</v>
      </c>
      <c r="AC448" t="str">
        <f t="shared" si="20"/>
        <v>Needs Improvement</v>
      </c>
    </row>
    <row r="449" spans="1:29" x14ac:dyDescent="0.3">
      <c r="A449" t="s">
        <v>570</v>
      </c>
      <c r="B449" s="1">
        <v>46132</v>
      </c>
      <c r="C449" s="1">
        <v>46134</v>
      </c>
      <c r="D449" s="1">
        <v>46138</v>
      </c>
      <c r="E449" t="s">
        <v>40</v>
      </c>
      <c r="F449" t="s">
        <v>41</v>
      </c>
      <c r="G449" t="s">
        <v>42</v>
      </c>
      <c r="H449">
        <v>376</v>
      </c>
      <c r="I449" t="s">
        <v>30</v>
      </c>
      <c r="J449">
        <v>8</v>
      </c>
      <c r="K449">
        <v>2632</v>
      </c>
      <c r="L449">
        <v>8</v>
      </c>
      <c r="M449" t="s">
        <v>120</v>
      </c>
      <c r="N449">
        <v>1</v>
      </c>
      <c r="O449">
        <v>3.2</v>
      </c>
      <c r="P449" t="s">
        <v>45</v>
      </c>
      <c r="Q449" t="s">
        <v>33</v>
      </c>
      <c r="R449" t="s">
        <v>54</v>
      </c>
      <c r="S449">
        <v>1</v>
      </c>
      <c r="T449">
        <v>4</v>
      </c>
      <c r="U449">
        <v>3</v>
      </c>
      <c r="V449" t="s">
        <v>46</v>
      </c>
      <c r="W449" t="s">
        <v>36</v>
      </c>
      <c r="X449" t="s">
        <v>95</v>
      </c>
      <c r="Y449" t="s">
        <v>33</v>
      </c>
      <c r="Z449">
        <v>3.5</v>
      </c>
      <c r="AA449">
        <f t="shared" si="18"/>
        <v>7</v>
      </c>
      <c r="AB449" t="str">
        <f t="shared" si="19"/>
        <v>Yes</v>
      </c>
      <c r="AC449" t="str">
        <f t="shared" si="20"/>
        <v>Needs Improvement</v>
      </c>
    </row>
    <row r="450" spans="1:29" x14ac:dyDescent="0.3">
      <c r="A450" t="s">
        <v>571</v>
      </c>
      <c r="B450" s="1">
        <v>46060</v>
      </c>
      <c r="C450" s="1">
        <v>46062</v>
      </c>
      <c r="D450" s="1">
        <v>46066</v>
      </c>
      <c r="E450" t="s">
        <v>111</v>
      </c>
      <c r="F450" t="s">
        <v>27</v>
      </c>
      <c r="G450" t="s">
        <v>112</v>
      </c>
      <c r="H450">
        <v>304</v>
      </c>
      <c r="I450" t="s">
        <v>30</v>
      </c>
      <c r="J450">
        <v>1</v>
      </c>
      <c r="K450">
        <v>1824</v>
      </c>
      <c r="L450">
        <v>10</v>
      </c>
      <c r="M450" t="s">
        <v>245</v>
      </c>
      <c r="N450">
        <v>7</v>
      </c>
      <c r="O450">
        <v>5</v>
      </c>
      <c r="P450" t="s">
        <v>53</v>
      </c>
      <c r="Q450" t="s">
        <v>33</v>
      </c>
      <c r="R450" t="s">
        <v>54</v>
      </c>
      <c r="S450">
        <v>1</v>
      </c>
      <c r="T450">
        <v>4</v>
      </c>
      <c r="U450">
        <v>3</v>
      </c>
      <c r="V450" t="s">
        <v>46</v>
      </c>
      <c r="W450" t="s">
        <v>68</v>
      </c>
      <c r="X450" t="s">
        <v>95</v>
      </c>
      <c r="Y450" t="s">
        <v>33</v>
      </c>
      <c r="Z450">
        <v>4.2</v>
      </c>
      <c r="AA450">
        <f t="shared" si="18"/>
        <v>6</v>
      </c>
      <c r="AB450" t="str">
        <f t="shared" si="19"/>
        <v>Yes</v>
      </c>
      <c r="AC450" t="str">
        <f t="shared" si="20"/>
        <v>Needs Improvement</v>
      </c>
    </row>
    <row r="451" spans="1:29" x14ac:dyDescent="0.3">
      <c r="A451" t="s">
        <v>572</v>
      </c>
      <c r="B451" s="1">
        <v>46101</v>
      </c>
      <c r="C451" s="1">
        <v>46103</v>
      </c>
      <c r="D451" s="1">
        <v>46107</v>
      </c>
      <c r="E451" t="s">
        <v>92</v>
      </c>
      <c r="F451" t="s">
        <v>93</v>
      </c>
      <c r="G451" t="s">
        <v>94</v>
      </c>
      <c r="H451">
        <v>674</v>
      </c>
      <c r="I451" t="s">
        <v>87</v>
      </c>
      <c r="J451">
        <v>9</v>
      </c>
      <c r="K451">
        <v>4044</v>
      </c>
      <c r="L451">
        <v>8</v>
      </c>
      <c r="M451" t="s">
        <v>105</v>
      </c>
      <c r="N451">
        <v>6</v>
      </c>
      <c r="O451">
        <v>4.0999999999999996</v>
      </c>
      <c r="P451" t="s">
        <v>66</v>
      </c>
      <c r="Q451" t="s">
        <v>33</v>
      </c>
      <c r="R451" t="s">
        <v>34</v>
      </c>
      <c r="S451">
        <v>1</v>
      </c>
      <c r="T451">
        <v>4</v>
      </c>
      <c r="U451">
        <v>3</v>
      </c>
      <c r="V451" t="s">
        <v>46</v>
      </c>
      <c r="W451" t="s">
        <v>55</v>
      </c>
      <c r="X451" t="s">
        <v>47</v>
      </c>
      <c r="Y451" t="s">
        <v>62</v>
      </c>
      <c r="Z451">
        <v>4.4000000000000004</v>
      </c>
      <c r="AA451">
        <f t="shared" ref="AA451:AA501" si="21">(K451/H451)</f>
        <v>6</v>
      </c>
      <c r="AB451" t="str">
        <f t="shared" ref="AB451:AB501" si="22">IF(U451&gt;0,"Yes","No")</f>
        <v>Yes</v>
      </c>
      <c r="AC451" t="str">
        <f t="shared" ref="AC451:AC501" si="23">IF(U451=0,"Efficient","Needs Improvement")</f>
        <v>Needs Improvement</v>
      </c>
    </row>
    <row r="452" spans="1:29" x14ac:dyDescent="0.3">
      <c r="A452" t="s">
        <v>573</v>
      </c>
      <c r="B452" s="1">
        <v>46025</v>
      </c>
      <c r="C452" s="1">
        <v>46025</v>
      </c>
      <c r="D452" s="1">
        <v>46030</v>
      </c>
      <c r="E452" t="s">
        <v>57</v>
      </c>
      <c r="F452" t="s">
        <v>58</v>
      </c>
      <c r="G452" t="s">
        <v>59</v>
      </c>
      <c r="H452">
        <v>1687</v>
      </c>
      <c r="I452" t="s">
        <v>60</v>
      </c>
      <c r="J452">
        <v>8</v>
      </c>
      <c r="K452">
        <v>13496</v>
      </c>
      <c r="L452">
        <v>8</v>
      </c>
      <c r="M452" t="s">
        <v>239</v>
      </c>
      <c r="N452">
        <v>9</v>
      </c>
      <c r="O452">
        <v>3.4</v>
      </c>
      <c r="P452" t="s">
        <v>66</v>
      </c>
      <c r="Q452" t="s">
        <v>33</v>
      </c>
      <c r="R452" t="s">
        <v>54</v>
      </c>
      <c r="S452">
        <v>3</v>
      </c>
      <c r="T452">
        <v>5</v>
      </c>
      <c r="U452">
        <v>2</v>
      </c>
      <c r="V452" t="s">
        <v>46</v>
      </c>
      <c r="W452" t="s">
        <v>55</v>
      </c>
      <c r="X452" t="s">
        <v>95</v>
      </c>
      <c r="Y452" t="s">
        <v>62</v>
      </c>
      <c r="Z452">
        <v>4.7</v>
      </c>
      <c r="AA452">
        <f t="shared" si="21"/>
        <v>8</v>
      </c>
      <c r="AB452" t="str">
        <f t="shared" si="22"/>
        <v>Yes</v>
      </c>
      <c r="AC452" t="str">
        <f t="shared" si="23"/>
        <v>Needs Improvement</v>
      </c>
    </row>
    <row r="453" spans="1:29" x14ac:dyDescent="0.3">
      <c r="A453" t="s">
        <v>574</v>
      </c>
      <c r="B453" s="1">
        <v>46109</v>
      </c>
      <c r="C453" s="1">
        <v>46111</v>
      </c>
      <c r="D453" s="1">
        <v>46113</v>
      </c>
      <c r="E453" t="s">
        <v>49</v>
      </c>
      <c r="F453" t="s">
        <v>50</v>
      </c>
      <c r="G453" t="s">
        <v>51</v>
      </c>
      <c r="H453">
        <v>1167</v>
      </c>
      <c r="I453" t="s">
        <v>60</v>
      </c>
      <c r="J453">
        <v>10</v>
      </c>
      <c r="K453">
        <v>8169</v>
      </c>
      <c r="L453">
        <v>7</v>
      </c>
      <c r="M453" t="s">
        <v>65</v>
      </c>
      <c r="N453">
        <v>12</v>
      </c>
      <c r="O453">
        <v>3.2</v>
      </c>
      <c r="P453" t="s">
        <v>53</v>
      </c>
      <c r="Q453" t="s">
        <v>38</v>
      </c>
      <c r="R453" t="s">
        <v>67</v>
      </c>
      <c r="S453">
        <v>2</v>
      </c>
      <c r="T453">
        <v>2</v>
      </c>
      <c r="U453">
        <v>0</v>
      </c>
      <c r="V453" t="s">
        <v>35</v>
      </c>
      <c r="W453" t="s">
        <v>55</v>
      </c>
      <c r="X453" t="s">
        <v>95</v>
      </c>
      <c r="Y453" t="s">
        <v>38</v>
      </c>
      <c r="Z453">
        <v>4.5999999999999996</v>
      </c>
      <c r="AA453">
        <f t="shared" si="21"/>
        <v>7</v>
      </c>
      <c r="AB453" t="str">
        <f t="shared" si="22"/>
        <v>No</v>
      </c>
      <c r="AC453" t="str">
        <f t="shared" si="23"/>
        <v>Efficient</v>
      </c>
    </row>
    <row r="454" spans="1:29" x14ac:dyDescent="0.3">
      <c r="A454" t="s">
        <v>575</v>
      </c>
      <c r="B454" s="1">
        <v>46143</v>
      </c>
      <c r="C454" s="1">
        <v>46144</v>
      </c>
      <c r="D454" s="1">
        <v>46145</v>
      </c>
      <c r="E454" t="s">
        <v>57</v>
      </c>
      <c r="F454" t="s">
        <v>58</v>
      </c>
      <c r="G454" t="s">
        <v>59</v>
      </c>
      <c r="H454">
        <v>680</v>
      </c>
      <c r="I454" t="s">
        <v>60</v>
      </c>
      <c r="J454">
        <v>9</v>
      </c>
      <c r="K454">
        <v>4080</v>
      </c>
      <c r="L454">
        <v>5</v>
      </c>
      <c r="M454" t="s">
        <v>178</v>
      </c>
      <c r="N454">
        <v>15</v>
      </c>
      <c r="O454">
        <v>3.5</v>
      </c>
      <c r="P454" t="s">
        <v>45</v>
      </c>
      <c r="Q454" t="s">
        <v>38</v>
      </c>
      <c r="R454" t="s">
        <v>54</v>
      </c>
      <c r="S454">
        <v>1</v>
      </c>
      <c r="T454">
        <v>1</v>
      </c>
      <c r="U454">
        <v>0</v>
      </c>
      <c r="V454" t="s">
        <v>35</v>
      </c>
      <c r="W454" t="s">
        <v>68</v>
      </c>
      <c r="X454" t="s">
        <v>95</v>
      </c>
      <c r="Y454" t="s">
        <v>38</v>
      </c>
      <c r="Z454">
        <v>4.2</v>
      </c>
      <c r="AA454">
        <f t="shared" si="21"/>
        <v>6</v>
      </c>
      <c r="AB454" t="str">
        <f t="shared" si="22"/>
        <v>No</v>
      </c>
      <c r="AC454" t="str">
        <f t="shared" si="23"/>
        <v>Efficient</v>
      </c>
    </row>
    <row r="455" spans="1:29" x14ac:dyDescent="0.3">
      <c r="A455" t="s">
        <v>576</v>
      </c>
      <c r="B455" s="1">
        <v>46038</v>
      </c>
      <c r="C455" s="1">
        <v>46040</v>
      </c>
      <c r="D455" s="1">
        <v>46046</v>
      </c>
      <c r="E455" t="s">
        <v>40</v>
      </c>
      <c r="F455" t="s">
        <v>41</v>
      </c>
      <c r="G455" t="s">
        <v>42</v>
      </c>
      <c r="H455">
        <v>1196</v>
      </c>
      <c r="I455" t="s">
        <v>30</v>
      </c>
      <c r="J455">
        <v>6</v>
      </c>
      <c r="K455">
        <v>14352</v>
      </c>
      <c r="L455">
        <v>7</v>
      </c>
      <c r="M455" t="s">
        <v>170</v>
      </c>
      <c r="N455">
        <v>1</v>
      </c>
      <c r="O455">
        <v>4.5</v>
      </c>
      <c r="P455" t="s">
        <v>66</v>
      </c>
      <c r="Q455" t="s">
        <v>38</v>
      </c>
      <c r="R455" t="s">
        <v>54</v>
      </c>
      <c r="S455">
        <v>2</v>
      </c>
      <c r="T455">
        <v>6</v>
      </c>
      <c r="U455">
        <v>4</v>
      </c>
      <c r="V455" t="s">
        <v>46</v>
      </c>
      <c r="W455" t="s">
        <v>55</v>
      </c>
      <c r="X455" t="s">
        <v>63</v>
      </c>
      <c r="Y455" t="s">
        <v>33</v>
      </c>
      <c r="Z455">
        <v>3.1</v>
      </c>
      <c r="AA455">
        <f t="shared" si="21"/>
        <v>12</v>
      </c>
      <c r="AB455" t="str">
        <f t="shared" si="22"/>
        <v>Yes</v>
      </c>
      <c r="AC455" t="str">
        <f t="shared" si="23"/>
        <v>Needs Improvement</v>
      </c>
    </row>
    <row r="456" spans="1:29" x14ac:dyDescent="0.3">
      <c r="A456" t="s">
        <v>577</v>
      </c>
      <c r="B456" s="1">
        <v>46079</v>
      </c>
      <c r="C456" s="1">
        <v>46080</v>
      </c>
      <c r="D456" s="1">
        <v>46083</v>
      </c>
      <c r="E456" t="s">
        <v>72</v>
      </c>
      <c r="F456" t="s">
        <v>73</v>
      </c>
      <c r="G456" t="s">
        <v>74</v>
      </c>
      <c r="H456">
        <v>416</v>
      </c>
      <c r="I456" t="s">
        <v>87</v>
      </c>
      <c r="J456">
        <v>9</v>
      </c>
      <c r="K456">
        <v>2496</v>
      </c>
      <c r="L456">
        <v>9</v>
      </c>
      <c r="M456" t="s">
        <v>107</v>
      </c>
      <c r="N456">
        <v>3</v>
      </c>
      <c r="O456">
        <v>4.3</v>
      </c>
      <c r="P456" t="s">
        <v>45</v>
      </c>
      <c r="Q456" t="s">
        <v>62</v>
      </c>
      <c r="R456" t="s">
        <v>67</v>
      </c>
      <c r="S456">
        <v>1</v>
      </c>
      <c r="T456">
        <v>3</v>
      </c>
      <c r="U456">
        <v>2</v>
      </c>
      <c r="V456" t="s">
        <v>46</v>
      </c>
      <c r="W456" t="s">
        <v>55</v>
      </c>
      <c r="X456" t="s">
        <v>95</v>
      </c>
      <c r="Y456" t="s">
        <v>33</v>
      </c>
      <c r="Z456">
        <v>4</v>
      </c>
      <c r="AA456">
        <f t="shared" si="21"/>
        <v>6</v>
      </c>
      <c r="AB456" t="str">
        <f t="shared" si="22"/>
        <v>Yes</v>
      </c>
      <c r="AC456" t="str">
        <f t="shared" si="23"/>
        <v>Needs Improvement</v>
      </c>
    </row>
    <row r="457" spans="1:29" x14ac:dyDescent="0.3">
      <c r="A457" t="s">
        <v>578</v>
      </c>
      <c r="B457" s="1">
        <v>46134</v>
      </c>
      <c r="C457" s="1">
        <v>46134</v>
      </c>
      <c r="D457" s="1">
        <v>46138</v>
      </c>
      <c r="E457" t="s">
        <v>82</v>
      </c>
      <c r="F457" t="s">
        <v>83</v>
      </c>
      <c r="G457" t="s">
        <v>84</v>
      </c>
      <c r="H457">
        <v>1525</v>
      </c>
      <c r="I457" t="s">
        <v>30</v>
      </c>
      <c r="J457">
        <v>6</v>
      </c>
      <c r="K457">
        <v>18300</v>
      </c>
      <c r="L457">
        <v>6</v>
      </c>
      <c r="M457" t="s">
        <v>118</v>
      </c>
      <c r="N457">
        <v>14</v>
      </c>
      <c r="O457">
        <v>3.4</v>
      </c>
      <c r="P457" t="s">
        <v>53</v>
      </c>
      <c r="Q457" t="s">
        <v>38</v>
      </c>
      <c r="R457" t="s">
        <v>67</v>
      </c>
      <c r="S457">
        <v>3</v>
      </c>
      <c r="T457">
        <v>4</v>
      </c>
      <c r="U457">
        <v>1</v>
      </c>
      <c r="V457" t="s">
        <v>46</v>
      </c>
      <c r="W457" t="s">
        <v>68</v>
      </c>
      <c r="X457" t="s">
        <v>76</v>
      </c>
      <c r="Y457" t="s">
        <v>38</v>
      </c>
      <c r="Z457">
        <v>3.2</v>
      </c>
      <c r="AA457">
        <f t="shared" si="21"/>
        <v>12</v>
      </c>
      <c r="AB457" t="str">
        <f t="shared" si="22"/>
        <v>Yes</v>
      </c>
      <c r="AC457" t="str">
        <f t="shared" si="23"/>
        <v>Needs Improvement</v>
      </c>
    </row>
    <row r="458" spans="1:29" x14ac:dyDescent="0.3">
      <c r="A458" t="s">
        <v>579</v>
      </c>
      <c r="B458" s="1">
        <v>46070</v>
      </c>
      <c r="C458" s="1">
        <v>46072</v>
      </c>
      <c r="D458" s="1">
        <v>46076</v>
      </c>
      <c r="E458" t="s">
        <v>111</v>
      </c>
      <c r="F458" t="s">
        <v>27</v>
      </c>
      <c r="G458" t="s">
        <v>112</v>
      </c>
      <c r="H458">
        <v>938</v>
      </c>
      <c r="I458" t="s">
        <v>60</v>
      </c>
      <c r="J458">
        <v>3</v>
      </c>
      <c r="K458">
        <v>11256</v>
      </c>
      <c r="L458">
        <v>9</v>
      </c>
      <c r="M458" t="s">
        <v>114</v>
      </c>
      <c r="N458">
        <v>13</v>
      </c>
      <c r="O458">
        <v>3.5</v>
      </c>
      <c r="P458" t="s">
        <v>53</v>
      </c>
      <c r="Q458" t="s">
        <v>62</v>
      </c>
      <c r="R458" t="s">
        <v>34</v>
      </c>
      <c r="S458">
        <v>2</v>
      </c>
      <c r="T458">
        <v>4</v>
      </c>
      <c r="U458">
        <v>2</v>
      </c>
      <c r="V458" t="s">
        <v>46</v>
      </c>
      <c r="W458" t="s">
        <v>55</v>
      </c>
      <c r="X458" t="s">
        <v>47</v>
      </c>
      <c r="Y458" t="s">
        <v>38</v>
      </c>
      <c r="Z458">
        <v>3.9</v>
      </c>
      <c r="AA458">
        <f t="shared" si="21"/>
        <v>12</v>
      </c>
      <c r="AB458" t="str">
        <f t="shared" si="22"/>
        <v>Yes</v>
      </c>
      <c r="AC458" t="str">
        <f t="shared" si="23"/>
        <v>Needs Improvement</v>
      </c>
    </row>
    <row r="459" spans="1:29" x14ac:dyDescent="0.3">
      <c r="A459" t="s">
        <v>580</v>
      </c>
      <c r="B459" s="1">
        <v>46121</v>
      </c>
      <c r="C459" s="1">
        <v>46121</v>
      </c>
      <c r="D459" s="1">
        <v>46122</v>
      </c>
      <c r="E459" t="s">
        <v>72</v>
      </c>
      <c r="F459" t="s">
        <v>73</v>
      </c>
      <c r="G459" t="s">
        <v>74</v>
      </c>
      <c r="H459">
        <v>373</v>
      </c>
      <c r="I459" t="s">
        <v>30</v>
      </c>
      <c r="J459">
        <v>6</v>
      </c>
      <c r="K459">
        <v>3357</v>
      </c>
      <c r="L459">
        <v>6</v>
      </c>
      <c r="M459" t="s">
        <v>120</v>
      </c>
      <c r="N459">
        <v>1</v>
      </c>
      <c r="O459">
        <v>3.8</v>
      </c>
      <c r="P459" t="s">
        <v>32</v>
      </c>
      <c r="Q459" t="s">
        <v>33</v>
      </c>
      <c r="R459" t="s">
        <v>54</v>
      </c>
      <c r="S459">
        <v>1</v>
      </c>
      <c r="T459">
        <v>1</v>
      </c>
      <c r="U459">
        <v>0</v>
      </c>
      <c r="V459" t="s">
        <v>35</v>
      </c>
      <c r="W459" t="s">
        <v>55</v>
      </c>
      <c r="X459" t="s">
        <v>76</v>
      </c>
      <c r="Y459" t="s">
        <v>62</v>
      </c>
      <c r="Z459">
        <v>3.8</v>
      </c>
      <c r="AA459">
        <f t="shared" si="21"/>
        <v>9</v>
      </c>
      <c r="AB459" t="str">
        <f t="shared" si="22"/>
        <v>No</v>
      </c>
      <c r="AC459" t="str">
        <f t="shared" si="23"/>
        <v>Efficient</v>
      </c>
    </row>
    <row r="460" spans="1:29" x14ac:dyDescent="0.3">
      <c r="A460" t="s">
        <v>581</v>
      </c>
      <c r="B460" s="1">
        <v>46136</v>
      </c>
      <c r="C460" s="1">
        <v>46138</v>
      </c>
      <c r="D460" s="1">
        <v>46143</v>
      </c>
      <c r="E460" t="s">
        <v>57</v>
      </c>
      <c r="F460" t="s">
        <v>58</v>
      </c>
      <c r="G460" t="s">
        <v>59</v>
      </c>
      <c r="H460">
        <v>1677</v>
      </c>
      <c r="I460" t="s">
        <v>30</v>
      </c>
      <c r="J460">
        <v>6</v>
      </c>
      <c r="K460">
        <v>10062</v>
      </c>
      <c r="L460">
        <v>7</v>
      </c>
      <c r="M460" t="s">
        <v>85</v>
      </c>
      <c r="N460">
        <v>10</v>
      </c>
      <c r="O460">
        <v>4.8</v>
      </c>
      <c r="P460" t="s">
        <v>53</v>
      </c>
      <c r="Q460" t="s">
        <v>62</v>
      </c>
      <c r="R460" t="s">
        <v>54</v>
      </c>
      <c r="S460">
        <v>3</v>
      </c>
      <c r="T460">
        <v>5</v>
      </c>
      <c r="U460">
        <v>2</v>
      </c>
      <c r="V460" t="s">
        <v>46</v>
      </c>
      <c r="W460" t="s">
        <v>55</v>
      </c>
      <c r="X460" t="s">
        <v>76</v>
      </c>
      <c r="Y460" t="s">
        <v>33</v>
      </c>
      <c r="Z460">
        <v>3.9</v>
      </c>
      <c r="AA460">
        <f t="shared" si="21"/>
        <v>6</v>
      </c>
      <c r="AB460" t="str">
        <f t="shared" si="22"/>
        <v>Yes</v>
      </c>
      <c r="AC460" t="str">
        <f t="shared" si="23"/>
        <v>Needs Improvement</v>
      </c>
    </row>
    <row r="461" spans="1:29" x14ac:dyDescent="0.3">
      <c r="A461" t="s">
        <v>582</v>
      </c>
      <c r="B461" s="1">
        <v>46067</v>
      </c>
      <c r="C461" s="1">
        <v>46069</v>
      </c>
      <c r="D461" s="1">
        <v>46072</v>
      </c>
      <c r="E461" t="s">
        <v>111</v>
      </c>
      <c r="F461" t="s">
        <v>27</v>
      </c>
      <c r="G461" t="s">
        <v>112</v>
      </c>
      <c r="H461">
        <v>1788</v>
      </c>
      <c r="I461" t="s">
        <v>60</v>
      </c>
      <c r="J461">
        <v>5</v>
      </c>
      <c r="K461">
        <v>10728</v>
      </c>
      <c r="L461">
        <v>5</v>
      </c>
      <c r="M461" t="s">
        <v>52</v>
      </c>
      <c r="N461">
        <v>6</v>
      </c>
      <c r="O461">
        <v>3.8</v>
      </c>
      <c r="P461" t="s">
        <v>45</v>
      </c>
      <c r="Q461" t="s">
        <v>33</v>
      </c>
      <c r="R461" t="s">
        <v>54</v>
      </c>
      <c r="S461">
        <v>3</v>
      </c>
      <c r="T461">
        <v>3</v>
      </c>
      <c r="U461">
        <v>0</v>
      </c>
      <c r="V461" t="s">
        <v>35</v>
      </c>
      <c r="W461" t="s">
        <v>55</v>
      </c>
      <c r="X461" t="s">
        <v>76</v>
      </c>
      <c r="Y461" t="s">
        <v>62</v>
      </c>
      <c r="Z461">
        <v>4</v>
      </c>
      <c r="AA461">
        <f t="shared" si="21"/>
        <v>6</v>
      </c>
      <c r="AB461" t="str">
        <f t="shared" si="22"/>
        <v>No</v>
      </c>
      <c r="AC461" t="str">
        <f t="shared" si="23"/>
        <v>Efficient</v>
      </c>
    </row>
    <row r="462" spans="1:29" x14ac:dyDescent="0.3">
      <c r="A462" t="s">
        <v>583</v>
      </c>
      <c r="B462" s="1">
        <v>46119</v>
      </c>
      <c r="C462" s="1">
        <v>46121</v>
      </c>
      <c r="D462" s="1">
        <v>46124</v>
      </c>
      <c r="E462" t="s">
        <v>82</v>
      </c>
      <c r="F462" t="s">
        <v>83</v>
      </c>
      <c r="G462" t="s">
        <v>84</v>
      </c>
      <c r="H462">
        <v>247</v>
      </c>
      <c r="I462" t="s">
        <v>87</v>
      </c>
      <c r="J462">
        <v>9</v>
      </c>
      <c r="K462">
        <v>2470</v>
      </c>
      <c r="L462">
        <v>7</v>
      </c>
      <c r="M462" t="s">
        <v>125</v>
      </c>
      <c r="N462">
        <v>14</v>
      </c>
      <c r="O462">
        <v>4.5</v>
      </c>
      <c r="P462" t="s">
        <v>53</v>
      </c>
      <c r="Q462" t="s">
        <v>33</v>
      </c>
      <c r="R462" t="s">
        <v>67</v>
      </c>
      <c r="S462">
        <v>1</v>
      </c>
      <c r="T462">
        <v>3</v>
      </c>
      <c r="U462">
        <v>2</v>
      </c>
      <c r="V462" t="s">
        <v>46</v>
      </c>
      <c r="W462" t="s">
        <v>55</v>
      </c>
      <c r="X462" t="s">
        <v>76</v>
      </c>
      <c r="Y462" t="s">
        <v>62</v>
      </c>
      <c r="Z462">
        <v>3.2</v>
      </c>
      <c r="AA462">
        <f t="shared" si="21"/>
        <v>10</v>
      </c>
      <c r="AB462" t="str">
        <f t="shared" si="22"/>
        <v>Yes</v>
      </c>
      <c r="AC462" t="str">
        <f t="shared" si="23"/>
        <v>Needs Improvement</v>
      </c>
    </row>
    <row r="463" spans="1:29" x14ac:dyDescent="0.3">
      <c r="A463" t="s">
        <v>584</v>
      </c>
      <c r="B463" s="1">
        <v>46119</v>
      </c>
      <c r="C463" s="1">
        <v>46121</v>
      </c>
      <c r="D463" s="1">
        <v>46124</v>
      </c>
      <c r="E463" t="s">
        <v>72</v>
      </c>
      <c r="F463" t="s">
        <v>73</v>
      </c>
      <c r="G463" t="s">
        <v>74</v>
      </c>
      <c r="H463">
        <v>1119</v>
      </c>
      <c r="I463" t="s">
        <v>30</v>
      </c>
      <c r="J463">
        <v>10</v>
      </c>
      <c r="K463">
        <v>12309</v>
      </c>
      <c r="L463">
        <v>5</v>
      </c>
      <c r="M463" t="s">
        <v>61</v>
      </c>
      <c r="N463">
        <v>6</v>
      </c>
      <c r="O463">
        <v>5</v>
      </c>
      <c r="P463" t="s">
        <v>45</v>
      </c>
      <c r="Q463" t="s">
        <v>62</v>
      </c>
      <c r="R463" t="s">
        <v>34</v>
      </c>
      <c r="S463">
        <v>2</v>
      </c>
      <c r="T463">
        <v>3</v>
      </c>
      <c r="U463">
        <v>1</v>
      </c>
      <c r="V463" t="s">
        <v>46</v>
      </c>
      <c r="W463" t="s">
        <v>55</v>
      </c>
      <c r="X463" t="s">
        <v>95</v>
      </c>
      <c r="Y463" t="s">
        <v>33</v>
      </c>
      <c r="Z463">
        <v>4.5</v>
      </c>
      <c r="AA463">
        <f t="shared" si="21"/>
        <v>11</v>
      </c>
      <c r="AB463" t="str">
        <f t="shared" si="22"/>
        <v>Yes</v>
      </c>
      <c r="AC463" t="str">
        <f t="shared" si="23"/>
        <v>Needs Improvement</v>
      </c>
    </row>
    <row r="464" spans="1:29" x14ac:dyDescent="0.3">
      <c r="A464" t="s">
        <v>585</v>
      </c>
      <c r="B464" s="1">
        <v>46036</v>
      </c>
      <c r="C464" s="1">
        <v>46037</v>
      </c>
      <c r="D464" s="1">
        <v>46041</v>
      </c>
      <c r="E464" t="s">
        <v>40</v>
      </c>
      <c r="F464" t="s">
        <v>41</v>
      </c>
      <c r="G464" t="s">
        <v>42</v>
      </c>
      <c r="H464">
        <v>1794</v>
      </c>
      <c r="I464" t="s">
        <v>30</v>
      </c>
      <c r="J464">
        <v>8</v>
      </c>
      <c r="K464">
        <v>10764</v>
      </c>
      <c r="L464">
        <v>6</v>
      </c>
      <c r="M464" t="s">
        <v>245</v>
      </c>
      <c r="N464">
        <v>7</v>
      </c>
      <c r="O464">
        <v>4.7</v>
      </c>
      <c r="P464" t="s">
        <v>32</v>
      </c>
      <c r="Q464" t="s">
        <v>38</v>
      </c>
      <c r="R464" t="s">
        <v>67</v>
      </c>
      <c r="S464">
        <v>3</v>
      </c>
      <c r="T464">
        <v>4</v>
      </c>
      <c r="U464">
        <v>1</v>
      </c>
      <c r="V464" t="s">
        <v>46</v>
      </c>
      <c r="W464" t="s">
        <v>36</v>
      </c>
      <c r="X464" t="s">
        <v>95</v>
      </c>
      <c r="Y464" t="s">
        <v>38</v>
      </c>
      <c r="Z464">
        <v>3.9</v>
      </c>
      <c r="AA464">
        <f t="shared" si="21"/>
        <v>6</v>
      </c>
      <c r="AB464" t="str">
        <f t="shared" si="22"/>
        <v>Yes</v>
      </c>
      <c r="AC464" t="str">
        <f t="shared" si="23"/>
        <v>Needs Improvement</v>
      </c>
    </row>
    <row r="465" spans="1:29" x14ac:dyDescent="0.3">
      <c r="A465" t="s">
        <v>586</v>
      </c>
      <c r="B465" s="1">
        <v>46070</v>
      </c>
      <c r="C465" s="1">
        <v>46072</v>
      </c>
      <c r="D465" s="1">
        <v>46077</v>
      </c>
      <c r="E465" t="s">
        <v>111</v>
      </c>
      <c r="F465" t="s">
        <v>27</v>
      </c>
      <c r="G465" t="s">
        <v>112</v>
      </c>
      <c r="H465">
        <v>1404</v>
      </c>
      <c r="I465" t="s">
        <v>43</v>
      </c>
      <c r="J465">
        <v>5</v>
      </c>
      <c r="K465">
        <v>14040</v>
      </c>
      <c r="L465">
        <v>8</v>
      </c>
      <c r="M465" t="s">
        <v>222</v>
      </c>
      <c r="N465">
        <v>7</v>
      </c>
      <c r="O465">
        <v>5</v>
      </c>
      <c r="P465" t="s">
        <v>53</v>
      </c>
      <c r="Q465" t="s">
        <v>33</v>
      </c>
      <c r="R465" t="s">
        <v>34</v>
      </c>
      <c r="S465">
        <v>3</v>
      </c>
      <c r="T465">
        <v>5</v>
      </c>
      <c r="U465">
        <v>2</v>
      </c>
      <c r="V465" t="s">
        <v>46</v>
      </c>
      <c r="W465" t="s">
        <v>36</v>
      </c>
      <c r="X465" t="s">
        <v>95</v>
      </c>
      <c r="Y465" t="s">
        <v>33</v>
      </c>
      <c r="Z465">
        <v>3.9</v>
      </c>
      <c r="AA465">
        <f t="shared" si="21"/>
        <v>10</v>
      </c>
      <c r="AB465" t="str">
        <f t="shared" si="22"/>
        <v>Yes</v>
      </c>
      <c r="AC465" t="str">
        <f t="shared" si="23"/>
        <v>Needs Improvement</v>
      </c>
    </row>
    <row r="466" spans="1:29" x14ac:dyDescent="0.3">
      <c r="A466" t="s">
        <v>587</v>
      </c>
      <c r="B466" s="1">
        <v>46113</v>
      </c>
      <c r="C466" s="1">
        <v>46115</v>
      </c>
      <c r="D466" s="1">
        <v>46118</v>
      </c>
      <c r="E466" t="s">
        <v>72</v>
      </c>
      <c r="F466" t="s">
        <v>73</v>
      </c>
      <c r="G466" t="s">
        <v>74</v>
      </c>
      <c r="H466">
        <v>1622</v>
      </c>
      <c r="I466" t="s">
        <v>60</v>
      </c>
      <c r="J466">
        <v>8</v>
      </c>
      <c r="K466">
        <v>14598</v>
      </c>
      <c r="L466">
        <v>5</v>
      </c>
      <c r="M466" t="s">
        <v>31</v>
      </c>
      <c r="N466">
        <v>3</v>
      </c>
      <c r="O466">
        <v>4.9000000000000004</v>
      </c>
      <c r="P466" t="s">
        <v>66</v>
      </c>
      <c r="Q466" t="s">
        <v>38</v>
      </c>
      <c r="R466" t="s">
        <v>54</v>
      </c>
      <c r="S466">
        <v>3</v>
      </c>
      <c r="T466">
        <v>3</v>
      </c>
      <c r="U466">
        <v>0</v>
      </c>
      <c r="V466" t="s">
        <v>35</v>
      </c>
      <c r="W466" t="s">
        <v>36</v>
      </c>
      <c r="X466" t="s">
        <v>47</v>
      </c>
      <c r="Y466" t="s">
        <v>33</v>
      </c>
      <c r="Z466">
        <v>3.6</v>
      </c>
      <c r="AA466">
        <f t="shared" si="21"/>
        <v>9</v>
      </c>
      <c r="AB466" t="str">
        <f t="shared" si="22"/>
        <v>No</v>
      </c>
      <c r="AC466" t="str">
        <f t="shared" si="23"/>
        <v>Efficient</v>
      </c>
    </row>
    <row r="467" spans="1:29" x14ac:dyDescent="0.3">
      <c r="A467" t="s">
        <v>588</v>
      </c>
      <c r="B467" s="1">
        <v>46089</v>
      </c>
      <c r="C467" s="1">
        <v>46089</v>
      </c>
      <c r="D467" s="1">
        <v>46093</v>
      </c>
      <c r="E467" t="s">
        <v>72</v>
      </c>
      <c r="F467" t="s">
        <v>73</v>
      </c>
      <c r="G467" t="s">
        <v>74</v>
      </c>
      <c r="H467">
        <v>960</v>
      </c>
      <c r="I467" t="s">
        <v>30</v>
      </c>
      <c r="J467">
        <v>6</v>
      </c>
      <c r="K467">
        <v>7680</v>
      </c>
      <c r="L467">
        <v>7</v>
      </c>
      <c r="M467" t="s">
        <v>153</v>
      </c>
      <c r="N467">
        <v>1</v>
      </c>
      <c r="O467">
        <v>4.5999999999999996</v>
      </c>
      <c r="P467" t="s">
        <v>45</v>
      </c>
      <c r="Q467" t="s">
        <v>33</v>
      </c>
      <c r="R467" t="s">
        <v>34</v>
      </c>
      <c r="S467">
        <v>2</v>
      </c>
      <c r="T467">
        <v>4</v>
      </c>
      <c r="U467">
        <v>2</v>
      </c>
      <c r="V467" t="s">
        <v>46</v>
      </c>
      <c r="W467" t="s">
        <v>36</v>
      </c>
      <c r="X467" t="s">
        <v>37</v>
      </c>
      <c r="Y467" t="s">
        <v>33</v>
      </c>
      <c r="Z467">
        <v>4</v>
      </c>
      <c r="AA467">
        <f t="shared" si="21"/>
        <v>8</v>
      </c>
      <c r="AB467" t="str">
        <f t="shared" si="22"/>
        <v>Yes</v>
      </c>
      <c r="AC467" t="str">
        <f t="shared" si="23"/>
        <v>Needs Improvement</v>
      </c>
    </row>
    <row r="468" spans="1:29" x14ac:dyDescent="0.3">
      <c r="A468" t="s">
        <v>589</v>
      </c>
      <c r="B468" s="1">
        <v>46038</v>
      </c>
      <c r="C468" s="1">
        <v>46040</v>
      </c>
      <c r="D468" s="1">
        <v>46042</v>
      </c>
      <c r="E468" t="s">
        <v>49</v>
      </c>
      <c r="F468" t="s">
        <v>50</v>
      </c>
      <c r="G468" t="s">
        <v>51</v>
      </c>
      <c r="H468">
        <v>338</v>
      </c>
      <c r="I468" t="s">
        <v>87</v>
      </c>
      <c r="J468">
        <v>7</v>
      </c>
      <c r="K468">
        <v>3042</v>
      </c>
      <c r="L468">
        <v>9</v>
      </c>
      <c r="M468" t="s">
        <v>131</v>
      </c>
      <c r="N468">
        <v>10</v>
      </c>
      <c r="O468">
        <v>3.9</v>
      </c>
      <c r="P468" t="s">
        <v>66</v>
      </c>
      <c r="Q468" t="s">
        <v>62</v>
      </c>
      <c r="R468" t="s">
        <v>34</v>
      </c>
      <c r="S468">
        <v>1</v>
      </c>
      <c r="T468">
        <v>2</v>
      </c>
      <c r="U468">
        <v>1</v>
      </c>
      <c r="V468" t="s">
        <v>46</v>
      </c>
      <c r="W468" t="s">
        <v>36</v>
      </c>
      <c r="X468" t="s">
        <v>76</v>
      </c>
      <c r="Y468" t="s">
        <v>33</v>
      </c>
      <c r="Z468">
        <v>3.9</v>
      </c>
      <c r="AA468">
        <f t="shared" si="21"/>
        <v>9</v>
      </c>
      <c r="AB468" t="str">
        <f t="shared" si="22"/>
        <v>Yes</v>
      </c>
      <c r="AC468" t="str">
        <f t="shared" si="23"/>
        <v>Needs Improvement</v>
      </c>
    </row>
    <row r="469" spans="1:29" x14ac:dyDescent="0.3">
      <c r="A469" t="s">
        <v>590</v>
      </c>
      <c r="B469" s="1">
        <v>46080</v>
      </c>
      <c r="C469" s="1">
        <v>46082</v>
      </c>
      <c r="D469" s="1">
        <v>46083</v>
      </c>
      <c r="E469" t="s">
        <v>92</v>
      </c>
      <c r="F469" t="s">
        <v>93</v>
      </c>
      <c r="G469" t="s">
        <v>94</v>
      </c>
      <c r="H469">
        <v>505</v>
      </c>
      <c r="I469" t="s">
        <v>30</v>
      </c>
      <c r="J469">
        <v>2</v>
      </c>
      <c r="K469">
        <v>6060</v>
      </c>
      <c r="L469">
        <v>9</v>
      </c>
      <c r="M469" t="s">
        <v>103</v>
      </c>
      <c r="N469">
        <v>10</v>
      </c>
      <c r="O469">
        <v>3.8</v>
      </c>
      <c r="P469" t="s">
        <v>45</v>
      </c>
      <c r="Q469" t="s">
        <v>62</v>
      </c>
      <c r="R469" t="s">
        <v>34</v>
      </c>
      <c r="S469">
        <v>1</v>
      </c>
      <c r="T469">
        <v>1</v>
      </c>
      <c r="U469">
        <v>0</v>
      </c>
      <c r="V469" t="s">
        <v>35</v>
      </c>
      <c r="W469" t="s">
        <v>55</v>
      </c>
      <c r="X469" t="s">
        <v>95</v>
      </c>
      <c r="Y469" t="s">
        <v>33</v>
      </c>
      <c r="Z469">
        <v>3.6</v>
      </c>
      <c r="AA469">
        <f t="shared" si="21"/>
        <v>12</v>
      </c>
      <c r="AB469" t="str">
        <f t="shared" si="22"/>
        <v>No</v>
      </c>
      <c r="AC469" t="str">
        <f t="shared" si="23"/>
        <v>Efficient</v>
      </c>
    </row>
    <row r="470" spans="1:29" x14ac:dyDescent="0.3">
      <c r="A470" t="s">
        <v>591</v>
      </c>
      <c r="B470" s="1">
        <v>46034</v>
      </c>
      <c r="C470" s="1">
        <v>46034</v>
      </c>
      <c r="D470" s="1">
        <v>46040</v>
      </c>
      <c r="E470" t="s">
        <v>27</v>
      </c>
      <c r="F470" t="s">
        <v>28</v>
      </c>
      <c r="G470" t="s">
        <v>29</v>
      </c>
      <c r="H470">
        <v>1371</v>
      </c>
      <c r="I470" t="s">
        <v>30</v>
      </c>
      <c r="J470">
        <v>9</v>
      </c>
      <c r="K470">
        <v>15081</v>
      </c>
      <c r="L470">
        <v>5</v>
      </c>
      <c r="M470" t="s">
        <v>97</v>
      </c>
      <c r="N470">
        <v>9</v>
      </c>
      <c r="O470">
        <v>3.2</v>
      </c>
      <c r="P470" t="s">
        <v>32</v>
      </c>
      <c r="Q470" t="s">
        <v>33</v>
      </c>
      <c r="R470" t="s">
        <v>54</v>
      </c>
      <c r="S470">
        <v>3</v>
      </c>
      <c r="T470">
        <v>6</v>
      </c>
      <c r="U470">
        <v>3</v>
      </c>
      <c r="V470" t="s">
        <v>46</v>
      </c>
      <c r="W470" t="s">
        <v>55</v>
      </c>
      <c r="X470" t="s">
        <v>63</v>
      </c>
      <c r="Y470" t="s">
        <v>38</v>
      </c>
      <c r="Z470">
        <v>4.3</v>
      </c>
      <c r="AA470">
        <f t="shared" si="21"/>
        <v>11</v>
      </c>
      <c r="AB470" t="str">
        <f t="shared" si="22"/>
        <v>Yes</v>
      </c>
      <c r="AC470" t="str">
        <f t="shared" si="23"/>
        <v>Needs Improvement</v>
      </c>
    </row>
    <row r="471" spans="1:29" x14ac:dyDescent="0.3">
      <c r="A471" t="s">
        <v>592</v>
      </c>
      <c r="B471" s="1">
        <v>46091</v>
      </c>
      <c r="C471" s="1">
        <v>46091</v>
      </c>
      <c r="D471" s="1">
        <v>46093</v>
      </c>
      <c r="E471" t="s">
        <v>27</v>
      </c>
      <c r="F471" t="s">
        <v>28</v>
      </c>
      <c r="G471" t="s">
        <v>29</v>
      </c>
      <c r="H471">
        <v>763</v>
      </c>
      <c r="I471" t="s">
        <v>60</v>
      </c>
      <c r="J471">
        <v>4</v>
      </c>
      <c r="K471">
        <v>9156</v>
      </c>
      <c r="L471">
        <v>10</v>
      </c>
      <c r="M471" t="s">
        <v>145</v>
      </c>
      <c r="N471">
        <v>8</v>
      </c>
      <c r="O471">
        <v>3.2</v>
      </c>
      <c r="P471" t="s">
        <v>66</v>
      </c>
      <c r="Q471" t="s">
        <v>62</v>
      </c>
      <c r="R471" t="s">
        <v>54</v>
      </c>
      <c r="S471">
        <v>1</v>
      </c>
      <c r="T471">
        <v>2</v>
      </c>
      <c r="U471">
        <v>1</v>
      </c>
      <c r="V471" t="s">
        <v>46</v>
      </c>
      <c r="W471" t="s">
        <v>36</v>
      </c>
      <c r="X471" t="s">
        <v>47</v>
      </c>
      <c r="Y471" t="s">
        <v>62</v>
      </c>
      <c r="Z471">
        <v>3.4</v>
      </c>
      <c r="AA471">
        <f t="shared" si="21"/>
        <v>12</v>
      </c>
      <c r="AB471" t="str">
        <f t="shared" si="22"/>
        <v>Yes</v>
      </c>
      <c r="AC471" t="str">
        <f t="shared" si="23"/>
        <v>Needs Improvement</v>
      </c>
    </row>
    <row r="472" spans="1:29" x14ac:dyDescent="0.3">
      <c r="A472" t="s">
        <v>593</v>
      </c>
      <c r="B472" s="1">
        <v>46026</v>
      </c>
      <c r="C472" s="1">
        <v>46028</v>
      </c>
      <c r="D472" s="1">
        <v>46031</v>
      </c>
      <c r="E472" t="s">
        <v>49</v>
      </c>
      <c r="F472" t="s">
        <v>50</v>
      </c>
      <c r="G472" t="s">
        <v>51</v>
      </c>
      <c r="H472">
        <v>982</v>
      </c>
      <c r="I472" t="s">
        <v>30</v>
      </c>
      <c r="J472">
        <v>2</v>
      </c>
      <c r="K472">
        <v>5892</v>
      </c>
      <c r="L472">
        <v>5</v>
      </c>
      <c r="M472" t="s">
        <v>52</v>
      </c>
      <c r="N472">
        <v>3</v>
      </c>
      <c r="O472">
        <v>3.6</v>
      </c>
      <c r="P472" t="s">
        <v>45</v>
      </c>
      <c r="Q472" t="s">
        <v>62</v>
      </c>
      <c r="R472" t="s">
        <v>67</v>
      </c>
      <c r="S472">
        <v>2</v>
      </c>
      <c r="T472">
        <v>3</v>
      </c>
      <c r="U472">
        <v>1</v>
      </c>
      <c r="V472" t="s">
        <v>46</v>
      </c>
      <c r="W472" t="s">
        <v>68</v>
      </c>
      <c r="X472" t="s">
        <v>37</v>
      </c>
      <c r="Y472" t="s">
        <v>38</v>
      </c>
      <c r="Z472">
        <v>4.2</v>
      </c>
      <c r="AA472">
        <f t="shared" si="21"/>
        <v>6</v>
      </c>
      <c r="AB472" t="str">
        <f t="shared" si="22"/>
        <v>Yes</v>
      </c>
      <c r="AC472" t="str">
        <f t="shared" si="23"/>
        <v>Needs Improvement</v>
      </c>
    </row>
    <row r="473" spans="1:29" x14ac:dyDescent="0.3">
      <c r="A473" t="s">
        <v>594</v>
      </c>
      <c r="B473" s="1">
        <v>46064</v>
      </c>
      <c r="C473" s="1">
        <v>46064</v>
      </c>
      <c r="D473" s="1">
        <v>46067</v>
      </c>
      <c r="E473" t="s">
        <v>27</v>
      </c>
      <c r="F473" t="s">
        <v>28</v>
      </c>
      <c r="G473" t="s">
        <v>29</v>
      </c>
      <c r="H473">
        <v>1660</v>
      </c>
      <c r="I473" t="s">
        <v>87</v>
      </c>
      <c r="J473">
        <v>5</v>
      </c>
      <c r="K473">
        <v>14940</v>
      </c>
      <c r="L473">
        <v>5</v>
      </c>
      <c r="M473" t="s">
        <v>226</v>
      </c>
      <c r="N473">
        <v>3</v>
      </c>
      <c r="O473">
        <v>3.8</v>
      </c>
      <c r="P473" t="s">
        <v>66</v>
      </c>
      <c r="Q473" t="s">
        <v>62</v>
      </c>
      <c r="R473" t="s">
        <v>34</v>
      </c>
      <c r="S473">
        <v>3</v>
      </c>
      <c r="T473">
        <v>3</v>
      </c>
      <c r="U473">
        <v>0</v>
      </c>
      <c r="V473" t="s">
        <v>35</v>
      </c>
      <c r="W473" t="s">
        <v>36</v>
      </c>
      <c r="X473" t="s">
        <v>37</v>
      </c>
      <c r="Y473" t="s">
        <v>33</v>
      </c>
      <c r="Z473">
        <v>4.2</v>
      </c>
      <c r="AA473">
        <f t="shared" si="21"/>
        <v>9</v>
      </c>
      <c r="AB473" t="str">
        <f t="shared" si="22"/>
        <v>No</v>
      </c>
      <c r="AC473" t="str">
        <f t="shared" si="23"/>
        <v>Efficient</v>
      </c>
    </row>
    <row r="474" spans="1:29" x14ac:dyDescent="0.3">
      <c r="A474" t="s">
        <v>595</v>
      </c>
      <c r="B474" s="1">
        <v>46086</v>
      </c>
      <c r="C474" s="1">
        <v>46088</v>
      </c>
      <c r="D474" s="1">
        <v>46089</v>
      </c>
      <c r="E474" t="s">
        <v>111</v>
      </c>
      <c r="F474" t="s">
        <v>27</v>
      </c>
      <c r="G474" t="s">
        <v>112</v>
      </c>
      <c r="H474">
        <v>435</v>
      </c>
      <c r="I474" t="s">
        <v>30</v>
      </c>
      <c r="J474">
        <v>1</v>
      </c>
      <c r="K474">
        <v>3480</v>
      </c>
      <c r="L474">
        <v>8</v>
      </c>
      <c r="M474" t="s">
        <v>88</v>
      </c>
      <c r="N474">
        <v>7</v>
      </c>
      <c r="O474">
        <v>3.1</v>
      </c>
      <c r="P474" t="s">
        <v>32</v>
      </c>
      <c r="Q474" t="s">
        <v>62</v>
      </c>
      <c r="R474" t="s">
        <v>54</v>
      </c>
      <c r="S474">
        <v>1</v>
      </c>
      <c r="T474">
        <v>1</v>
      </c>
      <c r="U474">
        <v>0</v>
      </c>
      <c r="V474" t="s">
        <v>35</v>
      </c>
      <c r="W474" t="s">
        <v>36</v>
      </c>
      <c r="X474" t="s">
        <v>47</v>
      </c>
      <c r="Y474" t="s">
        <v>33</v>
      </c>
      <c r="Z474">
        <v>4.9000000000000004</v>
      </c>
      <c r="AA474">
        <f t="shared" si="21"/>
        <v>8</v>
      </c>
      <c r="AB474" t="str">
        <f t="shared" si="22"/>
        <v>No</v>
      </c>
      <c r="AC474" t="str">
        <f t="shared" si="23"/>
        <v>Efficient</v>
      </c>
    </row>
    <row r="475" spans="1:29" x14ac:dyDescent="0.3">
      <c r="A475" t="s">
        <v>596</v>
      </c>
      <c r="B475" s="1">
        <v>46109</v>
      </c>
      <c r="C475" s="1">
        <v>46109</v>
      </c>
      <c r="D475" s="1">
        <v>46113</v>
      </c>
      <c r="E475" t="s">
        <v>40</v>
      </c>
      <c r="F475" t="s">
        <v>41</v>
      </c>
      <c r="G475" t="s">
        <v>42</v>
      </c>
      <c r="H475">
        <v>1762</v>
      </c>
      <c r="I475" t="s">
        <v>60</v>
      </c>
      <c r="J475">
        <v>5</v>
      </c>
      <c r="K475">
        <v>17620</v>
      </c>
      <c r="L475">
        <v>8</v>
      </c>
      <c r="M475" t="s">
        <v>128</v>
      </c>
      <c r="N475">
        <v>2</v>
      </c>
      <c r="O475">
        <v>4.7</v>
      </c>
      <c r="P475" t="s">
        <v>45</v>
      </c>
      <c r="Q475" t="s">
        <v>38</v>
      </c>
      <c r="R475" t="s">
        <v>34</v>
      </c>
      <c r="S475">
        <v>3</v>
      </c>
      <c r="T475">
        <v>4</v>
      </c>
      <c r="U475">
        <v>1</v>
      </c>
      <c r="V475" t="s">
        <v>46</v>
      </c>
      <c r="W475" t="s">
        <v>36</v>
      </c>
      <c r="X475" t="s">
        <v>76</v>
      </c>
      <c r="Y475" t="s">
        <v>62</v>
      </c>
      <c r="Z475">
        <v>4.9000000000000004</v>
      </c>
      <c r="AA475">
        <f t="shared" si="21"/>
        <v>10</v>
      </c>
      <c r="AB475" t="str">
        <f t="shared" si="22"/>
        <v>Yes</v>
      </c>
      <c r="AC475" t="str">
        <f t="shared" si="23"/>
        <v>Needs Improvement</v>
      </c>
    </row>
    <row r="476" spans="1:29" x14ac:dyDescent="0.3">
      <c r="A476" t="s">
        <v>597</v>
      </c>
      <c r="B476" s="1">
        <v>46094</v>
      </c>
      <c r="C476" s="1">
        <v>46095</v>
      </c>
      <c r="D476" s="1">
        <v>46099</v>
      </c>
      <c r="E476" t="s">
        <v>27</v>
      </c>
      <c r="F476" t="s">
        <v>28</v>
      </c>
      <c r="G476" t="s">
        <v>29</v>
      </c>
      <c r="H476">
        <v>202</v>
      </c>
      <c r="I476" t="s">
        <v>43</v>
      </c>
      <c r="J476">
        <v>10</v>
      </c>
      <c r="K476">
        <v>1616</v>
      </c>
      <c r="L476">
        <v>10</v>
      </c>
      <c r="M476" t="s">
        <v>101</v>
      </c>
      <c r="N476">
        <v>1</v>
      </c>
      <c r="O476">
        <v>3.1</v>
      </c>
      <c r="P476" t="s">
        <v>53</v>
      </c>
      <c r="Q476" t="s">
        <v>62</v>
      </c>
      <c r="R476" t="s">
        <v>54</v>
      </c>
      <c r="S476">
        <v>1</v>
      </c>
      <c r="T476">
        <v>4</v>
      </c>
      <c r="U476">
        <v>3</v>
      </c>
      <c r="V476" t="s">
        <v>46</v>
      </c>
      <c r="W476" t="s">
        <v>68</v>
      </c>
      <c r="X476" t="s">
        <v>37</v>
      </c>
      <c r="Y476" t="s">
        <v>33</v>
      </c>
      <c r="Z476">
        <v>4.7</v>
      </c>
      <c r="AA476">
        <f t="shared" si="21"/>
        <v>8</v>
      </c>
      <c r="AB476" t="str">
        <f t="shared" si="22"/>
        <v>Yes</v>
      </c>
      <c r="AC476" t="str">
        <f t="shared" si="23"/>
        <v>Needs Improvement</v>
      </c>
    </row>
    <row r="477" spans="1:29" x14ac:dyDescent="0.3">
      <c r="A477" t="s">
        <v>598</v>
      </c>
      <c r="B477" s="1">
        <v>46059</v>
      </c>
      <c r="C477" s="1">
        <v>46059</v>
      </c>
      <c r="D477" s="1">
        <v>46064</v>
      </c>
      <c r="E477" t="s">
        <v>82</v>
      </c>
      <c r="F477" t="s">
        <v>83</v>
      </c>
      <c r="G477" t="s">
        <v>84</v>
      </c>
      <c r="H477">
        <v>1713</v>
      </c>
      <c r="I477" t="s">
        <v>87</v>
      </c>
      <c r="J477">
        <v>5</v>
      </c>
      <c r="K477">
        <v>10278</v>
      </c>
      <c r="L477">
        <v>8</v>
      </c>
      <c r="M477" t="s">
        <v>65</v>
      </c>
      <c r="N477">
        <v>2</v>
      </c>
      <c r="O477">
        <v>4.7</v>
      </c>
      <c r="P477" t="s">
        <v>66</v>
      </c>
      <c r="Q477" t="s">
        <v>62</v>
      </c>
      <c r="R477" t="s">
        <v>67</v>
      </c>
      <c r="S477">
        <v>3</v>
      </c>
      <c r="T477">
        <v>5</v>
      </c>
      <c r="U477">
        <v>2</v>
      </c>
      <c r="V477" t="s">
        <v>46</v>
      </c>
      <c r="W477" t="s">
        <v>55</v>
      </c>
      <c r="X477" t="s">
        <v>47</v>
      </c>
      <c r="Y477" t="s">
        <v>33</v>
      </c>
      <c r="Z477">
        <v>3.5</v>
      </c>
      <c r="AA477">
        <f t="shared" si="21"/>
        <v>6</v>
      </c>
      <c r="AB477" t="str">
        <f t="shared" si="22"/>
        <v>Yes</v>
      </c>
      <c r="AC477" t="str">
        <f t="shared" si="23"/>
        <v>Needs Improvement</v>
      </c>
    </row>
    <row r="478" spans="1:29" x14ac:dyDescent="0.3">
      <c r="A478" t="s">
        <v>599</v>
      </c>
      <c r="B478" s="1">
        <v>46119</v>
      </c>
      <c r="C478" s="1">
        <v>46121</v>
      </c>
      <c r="D478" s="1">
        <v>46122</v>
      </c>
      <c r="E478" t="s">
        <v>92</v>
      </c>
      <c r="F478" t="s">
        <v>93</v>
      </c>
      <c r="G478" t="s">
        <v>94</v>
      </c>
      <c r="H478">
        <v>759</v>
      </c>
      <c r="I478" t="s">
        <v>60</v>
      </c>
      <c r="J478">
        <v>6</v>
      </c>
      <c r="K478">
        <v>6072</v>
      </c>
      <c r="L478">
        <v>6</v>
      </c>
      <c r="M478" t="s">
        <v>61</v>
      </c>
      <c r="N478">
        <v>10</v>
      </c>
      <c r="O478">
        <v>3.7</v>
      </c>
      <c r="P478" t="s">
        <v>45</v>
      </c>
      <c r="Q478" t="s">
        <v>33</v>
      </c>
      <c r="R478" t="s">
        <v>67</v>
      </c>
      <c r="S478">
        <v>1</v>
      </c>
      <c r="T478">
        <v>1</v>
      </c>
      <c r="U478">
        <v>0</v>
      </c>
      <c r="V478" t="s">
        <v>35</v>
      </c>
      <c r="W478" t="s">
        <v>55</v>
      </c>
      <c r="X478" t="s">
        <v>37</v>
      </c>
      <c r="Y478" t="s">
        <v>62</v>
      </c>
      <c r="Z478">
        <v>4.0999999999999996</v>
      </c>
      <c r="AA478">
        <f t="shared" si="21"/>
        <v>8</v>
      </c>
      <c r="AB478" t="str">
        <f t="shared" si="22"/>
        <v>No</v>
      </c>
      <c r="AC478" t="str">
        <f t="shared" si="23"/>
        <v>Efficient</v>
      </c>
    </row>
    <row r="479" spans="1:29" x14ac:dyDescent="0.3">
      <c r="A479" t="s">
        <v>600</v>
      </c>
      <c r="B479" s="1">
        <v>46112</v>
      </c>
      <c r="C479" s="1">
        <v>46114</v>
      </c>
      <c r="D479" s="1">
        <v>46121</v>
      </c>
      <c r="E479" t="s">
        <v>92</v>
      </c>
      <c r="F479" t="s">
        <v>93</v>
      </c>
      <c r="G479" t="s">
        <v>94</v>
      </c>
      <c r="H479">
        <v>1761</v>
      </c>
      <c r="I479" t="s">
        <v>43</v>
      </c>
      <c r="J479">
        <v>9</v>
      </c>
      <c r="K479">
        <v>10566</v>
      </c>
      <c r="L479">
        <v>10</v>
      </c>
      <c r="M479" t="s">
        <v>97</v>
      </c>
      <c r="N479">
        <v>2</v>
      </c>
      <c r="O479">
        <v>4.0999999999999996</v>
      </c>
      <c r="P479" t="s">
        <v>53</v>
      </c>
      <c r="Q479" t="s">
        <v>33</v>
      </c>
      <c r="R479" t="s">
        <v>67</v>
      </c>
      <c r="S479">
        <v>3</v>
      </c>
      <c r="T479">
        <v>7</v>
      </c>
      <c r="U479">
        <v>4</v>
      </c>
      <c r="V479" t="s">
        <v>46</v>
      </c>
      <c r="W479" t="s">
        <v>68</v>
      </c>
      <c r="X479" t="s">
        <v>95</v>
      </c>
      <c r="Y479" t="s">
        <v>38</v>
      </c>
      <c r="Z479">
        <v>4.7</v>
      </c>
      <c r="AA479">
        <f t="shared" si="21"/>
        <v>6</v>
      </c>
      <c r="AB479" t="str">
        <f t="shared" si="22"/>
        <v>Yes</v>
      </c>
      <c r="AC479" t="str">
        <f t="shared" si="23"/>
        <v>Needs Improvement</v>
      </c>
    </row>
    <row r="480" spans="1:29" x14ac:dyDescent="0.3">
      <c r="A480" t="s">
        <v>601</v>
      </c>
      <c r="B480" s="1">
        <v>46126</v>
      </c>
      <c r="C480" s="1">
        <v>46128</v>
      </c>
      <c r="D480" s="1">
        <v>46129</v>
      </c>
      <c r="E480" t="s">
        <v>27</v>
      </c>
      <c r="F480" t="s">
        <v>28</v>
      </c>
      <c r="G480" t="s">
        <v>29</v>
      </c>
      <c r="H480">
        <v>455</v>
      </c>
      <c r="I480" t="s">
        <v>43</v>
      </c>
      <c r="J480">
        <v>6</v>
      </c>
      <c r="K480">
        <v>3185</v>
      </c>
      <c r="L480">
        <v>8</v>
      </c>
      <c r="M480" t="s">
        <v>158</v>
      </c>
      <c r="N480">
        <v>4</v>
      </c>
      <c r="O480">
        <v>4.5</v>
      </c>
      <c r="P480" t="s">
        <v>66</v>
      </c>
      <c r="Q480" t="s">
        <v>33</v>
      </c>
      <c r="R480" t="s">
        <v>54</v>
      </c>
      <c r="S480">
        <v>1</v>
      </c>
      <c r="T480">
        <v>1</v>
      </c>
      <c r="U480">
        <v>0</v>
      </c>
      <c r="V480" t="s">
        <v>35</v>
      </c>
      <c r="W480" t="s">
        <v>55</v>
      </c>
      <c r="X480" t="s">
        <v>47</v>
      </c>
      <c r="Y480" t="s">
        <v>33</v>
      </c>
      <c r="Z480">
        <v>3.4</v>
      </c>
      <c r="AA480">
        <f t="shared" si="21"/>
        <v>7</v>
      </c>
      <c r="AB480" t="str">
        <f t="shared" si="22"/>
        <v>No</v>
      </c>
      <c r="AC480" t="str">
        <f t="shared" si="23"/>
        <v>Efficient</v>
      </c>
    </row>
    <row r="481" spans="1:29" x14ac:dyDescent="0.3">
      <c r="A481" t="s">
        <v>602</v>
      </c>
      <c r="B481" s="1">
        <v>46086</v>
      </c>
      <c r="C481" s="1">
        <v>46087</v>
      </c>
      <c r="D481" s="1">
        <v>46091</v>
      </c>
      <c r="E481" t="s">
        <v>27</v>
      </c>
      <c r="F481" t="s">
        <v>28</v>
      </c>
      <c r="G481" t="s">
        <v>29</v>
      </c>
      <c r="H481">
        <v>774</v>
      </c>
      <c r="I481" t="s">
        <v>43</v>
      </c>
      <c r="J481">
        <v>10</v>
      </c>
      <c r="K481">
        <v>5418</v>
      </c>
      <c r="L481">
        <v>5</v>
      </c>
      <c r="M481" t="s">
        <v>160</v>
      </c>
      <c r="N481">
        <v>14</v>
      </c>
      <c r="O481">
        <v>4.3</v>
      </c>
      <c r="P481" t="s">
        <v>32</v>
      </c>
      <c r="Q481" t="s">
        <v>62</v>
      </c>
      <c r="R481" t="s">
        <v>54</v>
      </c>
      <c r="S481">
        <v>1</v>
      </c>
      <c r="T481">
        <v>4</v>
      </c>
      <c r="U481">
        <v>3</v>
      </c>
      <c r="V481" t="s">
        <v>46</v>
      </c>
      <c r="W481" t="s">
        <v>36</v>
      </c>
      <c r="X481" t="s">
        <v>76</v>
      </c>
      <c r="Y481" t="s">
        <v>38</v>
      </c>
      <c r="Z481">
        <v>4.3</v>
      </c>
      <c r="AA481">
        <f t="shared" si="21"/>
        <v>7</v>
      </c>
      <c r="AB481" t="str">
        <f t="shared" si="22"/>
        <v>Yes</v>
      </c>
      <c r="AC481" t="str">
        <f t="shared" si="23"/>
        <v>Needs Improvement</v>
      </c>
    </row>
    <row r="482" spans="1:29" x14ac:dyDescent="0.3">
      <c r="A482" t="s">
        <v>603</v>
      </c>
      <c r="B482" s="1">
        <v>46095</v>
      </c>
      <c r="C482" s="1">
        <v>46097</v>
      </c>
      <c r="D482" s="1">
        <v>46100</v>
      </c>
      <c r="E482" t="s">
        <v>82</v>
      </c>
      <c r="F482" t="s">
        <v>83</v>
      </c>
      <c r="G482" t="s">
        <v>84</v>
      </c>
      <c r="H482">
        <v>333</v>
      </c>
      <c r="I482" t="s">
        <v>60</v>
      </c>
      <c r="J482">
        <v>2</v>
      </c>
      <c r="K482">
        <v>2331</v>
      </c>
      <c r="L482">
        <v>7</v>
      </c>
      <c r="M482" t="s">
        <v>105</v>
      </c>
      <c r="N482">
        <v>14</v>
      </c>
      <c r="O482">
        <v>3.5</v>
      </c>
      <c r="P482" t="s">
        <v>66</v>
      </c>
      <c r="Q482" t="s">
        <v>38</v>
      </c>
      <c r="R482" t="s">
        <v>54</v>
      </c>
      <c r="S482">
        <v>1</v>
      </c>
      <c r="T482">
        <v>3</v>
      </c>
      <c r="U482">
        <v>2</v>
      </c>
      <c r="V482" t="s">
        <v>46</v>
      </c>
      <c r="W482" t="s">
        <v>55</v>
      </c>
      <c r="X482" t="s">
        <v>76</v>
      </c>
      <c r="Y482" t="s">
        <v>33</v>
      </c>
      <c r="Z482">
        <v>3.5</v>
      </c>
      <c r="AA482">
        <f t="shared" si="21"/>
        <v>7</v>
      </c>
      <c r="AB482" t="str">
        <f t="shared" si="22"/>
        <v>Yes</v>
      </c>
      <c r="AC482" t="str">
        <f t="shared" si="23"/>
        <v>Needs Improvement</v>
      </c>
    </row>
    <row r="483" spans="1:29" x14ac:dyDescent="0.3">
      <c r="A483" t="s">
        <v>604</v>
      </c>
      <c r="B483" s="1">
        <v>46094</v>
      </c>
      <c r="C483" s="1">
        <v>46095</v>
      </c>
      <c r="D483" s="1">
        <v>46097</v>
      </c>
      <c r="E483" t="s">
        <v>27</v>
      </c>
      <c r="F483" t="s">
        <v>28</v>
      </c>
      <c r="G483" t="s">
        <v>29</v>
      </c>
      <c r="H483">
        <v>1074</v>
      </c>
      <c r="I483" t="s">
        <v>87</v>
      </c>
      <c r="J483">
        <v>6</v>
      </c>
      <c r="K483">
        <v>9666</v>
      </c>
      <c r="L483">
        <v>8</v>
      </c>
      <c r="M483" t="s">
        <v>44</v>
      </c>
      <c r="N483">
        <v>2</v>
      </c>
      <c r="O483">
        <v>4.4000000000000004</v>
      </c>
      <c r="P483" t="s">
        <v>53</v>
      </c>
      <c r="Q483" t="s">
        <v>62</v>
      </c>
      <c r="R483" t="s">
        <v>34</v>
      </c>
      <c r="S483">
        <v>2</v>
      </c>
      <c r="T483">
        <v>2</v>
      </c>
      <c r="U483">
        <v>0</v>
      </c>
      <c r="V483" t="s">
        <v>35</v>
      </c>
      <c r="W483" t="s">
        <v>55</v>
      </c>
      <c r="X483" t="s">
        <v>37</v>
      </c>
      <c r="Y483" t="s">
        <v>38</v>
      </c>
      <c r="Z483">
        <v>3.6</v>
      </c>
      <c r="AA483">
        <f t="shared" si="21"/>
        <v>9</v>
      </c>
      <c r="AB483" t="str">
        <f t="shared" si="22"/>
        <v>No</v>
      </c>
      <c r="AC483" t="str">
        <f t="shared" si="23"/>
        <v>Efficient</v>
      </c>
    </row>
    <row r="484" spans="1:29" x14ac:dyDescent="0.3">
      <c r="A484" t="s">
        <v>605</v>
      </c>
      <c r="B484" s="1">
        <v>46076</v>
      </c>
      <c r="C484" s="1">
        <v>46078</v>
      </c>
      <c r="D484" s="1">
        <v>46079</v>
      </c>
      <c r="E484" t="s">
        <v>92</v>
      </c>
      <c r="F484" t="s">
        <v>93</v>
      </c>
      <c r="G484" t="s">
        <v>94</v>
      </c>
      <c r="H484">
        <v>847</v>
      </c>
      <c r="I484" t="s">
        <v>87</v>
      </c>
      <c r="J484">
        <v>7</v>
      </c>
      <c r="K484">
        <v>5929</v>
      </c>
      <c r="L484">
        <v>7</v>
      </c>
      <c r="M484" t="s">
        <v>109</v>
      </c>
      <c r="N484">
        <v>15</v>
      </c>
      <c r="O484">
        <v>4.0999999999999996</v>
      </c>
      <c r="P484" t="s">
        <v>32</v>
      </c>
      <c r="Q484" t="s">
        <v>33</v>
      </c>
      <c r="R484" t="s">
        <v>67</v>
      </c>
      <c r="S484">
        <v>1</v>
      </c>
      <c r="T484">
        <v>1</v>
      </c>
      <c r="U484">
        <v>0</v>
      </c>
      <c r="V484" t="s">
        <v>35</v>
      </c>
      <c r="W484" t="s">
        <v>36</v>
      </c>
      <c r="X484" t="s">
        <v>37</v>
      </c>
      <c r="Y484" t="s">
        <v>38</v>
      </c>
      <c r="Z484">
        <v>3.7</v>
      </c>
      <c r="AA484">
        <f t="shared" si="21"/>
        <v>7</v>
      </c>
      <c r="AB484" t="str">
        <f t="shared" si="22"/>
        <v>No</v>
      </c>
      <c r="AC484" t="str">
        <f t="shared" si="23"/>
        <v>Efficient</v>
      </c>
    </row>
    <row r="485" spans="1:29" x14ac:dyDescent="0.3">
      <c r="A485" t="s">
        <v>606</v>
      </c>
      <c r="B485" s="1">
        <v>46031</v>
      </c>
      <c r="C485" s="1">
        <v>46033</v>
      </c>
      <c r="D485" s="1">
        <v>46035</v>
      </c>
      <c r="E485" t="s">
        <v>72</v>
      </c>
      <c r="F485" t="s">
        <v>73</v>
      </c>
      <c r="G485" t="s">
        <v>74</v>
      </c>
      <c r="H485">
        <v>257</v>
      </c>
      <c r="I485" t="s">
        <v>43</v>
      </c>
      <c r="J485">
        <v>7</v>
      </c>
      <c r="K485">
        <v>3084</v>
      </c>
      <c r="L485">
        <v>5</v>
      </c>
      <c r="M485" t="s">
        <v>145</v>
      </c>
      <c r="N485">
        <v>13</v>
      </c>
      <c r="O485">
        <v>4.3</v>
      </c>
      <c r="P485" t="s">
        <v>66</v>
      </c>
      <c r="Q485" t="s">
        <v>62</v>
      </c>
      <c r="R485" t="s">
        <v>67</v>
      </c>
      <c r="S485">
        <v>1</v>
      </c>
      <c r="T485">
        <v>2</v>
      </c>
      <c r="U485">
        <v>1</v>
      </c>
      <c r="V485" t="s">
        <v>46</v>
      </c>
      <c r="W485" t="s">
        <v>36</v>
      </c>
      <c r="X485" t="s">
        <v>47</v>
      </c>
      <c r="Y485" t="s">
        <v>38</v>
      </c>
      <c r="Z485">
        <v>4.5999999999999996</v>
      </c>
      <c r="AA485">
        <f t="shared" si="21"/>
        <v>12</v>
      </c>
      <c r="AB485" t="str">
        <f t="shared" si="22"/>
        <v>Yes</v>
      </c>
      <c r="AC485" t="str">
        <f t="shared" si="23"/>
        <v>Needs Improvement</v>
      </c>
    </row>
    <row r="486" spans="1:29" x14ac:dyDescent="0.3">
      <c r="A486" t="s">
        <v>607</v>
      </c>
      <c r="B486" s="1">
        <v>46089</v>
      </c>
      <c r="C486" s="1">
        <v>46089</v>
      </c>
      <c r="D486" s="1">
        <v>46093</v>
      </c>
      <c r="E486" t="s">
        <v>72</v>
      </c>
      <c r="F486" t="s">
        <v>73</v>
      </c>
      <c r="G486" t="s">
        <v>74</v>
      </c>
      <c r="H486">
        <v>1788</v>
      </c>
      <c r="I486" t="s">
        <v>43</v>
      </c>
      <c r="J486">
        <v>2</v>
      </c>
      <c r="K486">
        <v>19668</v>
      </c>
      <c r="L486">
        <v>8</v>
      </c>
      <c r="M486" t="s">
        <v>145</v>
      </c>
      <c r="N486">
        <v>2</v>
      </c>
      <c r="O486">
        <v>3.2</v>
      </c>
      <c r="P486" t="s">
        <v>32</v>
      </c>
      <c r="Q486" t="s">
        <v>38</v>
      </c>
      <c r="R486" t="s">
        <v>34</v>
      </c>
      <c r="S486">
        <v>3</v>
      </c>
      <c r="T486">
        <v>4</v>
      </c>
      <c r="U486">
        <v>1</v>
      </c>
      <c r="V486" t="s">
        <v>46</v>
      </c>
      <c r="W486" t="s">
        <v>55</v>
      </c>
      <c r="X486" t="s">
        <v>63</v>
      </c>
      <c r="Y486" t="s">
        <v>38</v>
      </c>
      <c r="Z486">
        <v>3.1</v>
      </c>
      <c r="AA486">
        <f t="shared" si="21"/>
        <v>11</v>
      </c>
      <c r="AB486" t="str">
        <f t="shared" si="22"/>
        <v>Yes</v>
      </c>
      <c r="AC486" t="str">
        <f t="shared" si="23"/>
        <v>Needs Improvement</v>
      </c>
    </row>
    <row r="487" spans="1:29" x14ac:dyDescent="0.3">
      <c r="A487" t="s">
        <v>608</v>
      </c>
      <c r="B487" s="1">
        <v>46125</v>
      </c>
      <c r="C487" s="1">
        <v>46126</v>
      </c>
      <c r="D487" s="1">
        <v>46130</v>
      </c>
      <c r="E487" t="s">
        <v>27</v>
      </c>
      <c r="F487" t="s">
        <v>28</v>
      </c>
      <c r="G487" t="s">
        <v>29</v>
      </c>
      <c r="H487">
        <v>817</v>
      </c>
      <c r="I487" t="s">
        <v>43</v>
      </c>
      <c r="J487">
        <v>2</v>
      </c>
      <c r="K487">
        <v>4902</v>
      </c>
      <c r="L487">
        <v>10</v>
      </c>
      <c r="M487" t="s">
        <v>208</v>
      </c>
      <c r="N487">
        <v>9</v>
      </c>
      <c r="O487">
        <v>3.1</v>
      </c>
      <c r="P487" t="s">
        <v>53</v>
      </c>
      <c r="Q487" t="s">
        <v>62</v>
      </c>
      <c r="R487" t="s">
        <v>67</v>
      </c>
      <c r="S487">
        <v>1</v>
      </c>
      <c r="T487">
        <v>4</v>
      </c>
      <c r="U487">
        <v>3</v>
      </c>
      <c r="V487" t="s">
        <v>46</v>
      </c>
      <c r="W487" t="s">
        <v>36</v>
      </c>
      <c r="X487" t="s">
        <v>76</v>
      </c>
      <c r="Y487" t="s">
        <v>33</v>
      </c>
      <c r="Z487">
        <v>4.2</v>
      </c>
      <c r="AA487">
        <f t="shared" si="21"/>
        <v>6</v>
      </c>
      <c r="AB487" t="str">
        <f t="shared" si="22"/>
        <v>Yes</v>
      </c>
      <c r="AC487" t="str">
        <f t="shared" si="23"/>
        <v>Needs Improvement</v>
      </c>
    </row>
    <row r="488" spans="1:29" x14ac:dyDescent="0.3">
      <c r="A488" t="s">
        <v>609</v>
      </c>
      <c r="B488" s="1">
        <v>46081</v>
      </c>
      <c r="C488" s="1">
        <v>46082</v>
      </c>
      <c r="D488" s="1">
        <v>46084</v>
      </c>
      <c r="E488" t="s">
        <v>92</v>
      </c>
      <c r="F488" t="s">
        <v>93</v>
      </c>
      <c r="G488" t="s">
        <v>94</v>
      </c>
      <c r="H488">
        <v>1076</v>
      </c>
      <c r="I488" t="s">
        <v>87</v>
      </c>
      <c r="J488">
        <v>6</v>
      </c>
      <c r="K488">
        <v>11836</v>
      </c>
      <c r="L488">
        <v>10</v>
      </c>
      <c r="M488" t="s">
        <v>135</v>
      </c>
      <c r="N488">
        <v>8</v>
      </c>
      <c r="O488">
        <v>4</v>
      </c>
      <c r="P488" t="s">
        <v>45</v>
      </c>
      <c r="Q488" t="s">
        <v>38</v>
      </c>
      <c r="R488" t="s">
        <v>67</v>
      </c>
      <c r="S488">
        <v>2</v>
      </c>
      <c r="T488">
        <v>2</v>
      </c>
      <c r="U488">
        <v>0</v>
      </c>
      <c r="V488" t="s">
        <v>35</v>
      </c>
      <c r="W488" t="s">
        <v>55</v>
      </c>
      <c r="X488" t="s">
        <v>37</v>
      </c>
      <c r="Y488" t="s">
        <v>33</v>
      </c>
      <c r="Z488">
        <v>3.3</v>
      </c>
      <c r="AA488">
        <f t="shared" si="21"/>
        <v>11</v>
      </c>
      <c r="AB488" t="str">
        <f t="shared" si="22"/>
        <v>No</v>
      </c>
      <c r="AC488" t="str">
        <f t="shared" si="23"/>
        <v>Efficient</v>
      </c>
    </row>
    <row r="489" spans="1:29" x14ac:dyDescent="0.3">
      <c r="A489" t="s">
        <v>610</v>
      </c>
      <c r="B489" s="1">
        <v>46088</v>
      </c>
      <c r="C489" s="1">
        <v>46089</v>
      </c>
      <c r="D489" s="1">
        <v>46093</v>
      </c>
      <c r="E489" t="s">
        <v>49</v>
      </c>
      <c r="F489" t="s">
        <v>50</v>
      </c>
      <c r="G489" t="s">
        <v>51</v>
      </c>
      <c r="H489">
        <v>1062</v>
      </c>
      <c r="I489" t="s">
        <v>43</v>
      </c>
      <c r="J489">
        <v>10</v>
      </c>
      <c r="K489">
        <v>9558</v>
      </c>
      <c r="L489">
        <v>6</v>
      </c>
      <c r="M489" t="s">
        <v>125</v>
      </c>
      <c r="N489">
        <v>3</v>
      </c>
      <c r="O489">
        <v>4.5999999999999996</v>
      </c>
      <c r="P489" t="s">
        <v>32</v>
      </c>
      <c r="Q489" t="s">
        <v>38</v>
      </c>
      <c r="R489" t="s">
        <v>34</v>
      </c>
      <c r="S489">
        <v>2</v>
      </c>
      <c r="T489">
        <v>4</v>
      </c>
      <c r="U489">
        <v>2</v>
      </c>
      <c r="V489" t="s">
        <v>46</v>
      </c>
      <c r="W489" t="s">
        <v>68</v>
      </c>
      <c r="X489" t="s">
        <v>76</v>
      </c>
      <c r="Y489" t="s">
        <v>33</v>
      </c>
      <c r="Z489">
        <v>4.5</v>
      </c>
      <c r="AA489">
        <f t="shared" si="21"/>
        <v>9</v>
      </c>
      <c r="AB489" t="str">
        <f t="shared" si="22"/>
        <v>Yes</v>
      </c>
      <c r="AC489" t="str">
        <f t="shared" si="23"/>
        <v>Needs Improvement</v>
      </c>
    </row>
    <row r="490" spans="1:29" x14ac:dyDescent="0.3">
      <c r="A490" t="s">
        <v>611</v>
      </c>
      <c r="B490" s="1">
        <v>46062</v>
      </c>
      <c r="C490" s="1">
        <v>46064</v>
      </c>
      <c r="D490" s="1">
        <v>46065</v>
      </c>
      <c r="E490" t="s">
        <v>82</v>
      </c>
      <c r="F490" t="s">
        <v>83</v>
      </c>
      <c r="G490" t="s">
        <v>84</v>
      </c>
      <c r="H490">
        <v>501</v>
      </c>
      <c r="I490" t="s">
        <v>43</v>
      </c>
      <c r="J490">
        <v>5</v>
      </c>
      <c r="K490">
        <v>5010</v>
      </c>
      <c r="L490">
        <v>7</v>
      </c>
      <c r="M490" t="s">
        <v>99</v>
      </c>
      <c r="N490">
        <v>6</v>
      </c>
      <c r="O490">
        <v>4.9000000000000004</v>
      </c>
      <c r="P490" t="s">
        <v>45</v>
      </c>
      <c r="Q490" t="s">
        <v>38</v>
      </c>
      <c r="R490" t="s">
        <v>67</v>
      </c>
      <c r="S490">
        <v>1</v>
      </c>
      <c r="T490">
        <v>1</v>
      </c>
      <c r="U490">
        <v>0</v>
      </c>
      <c r="V490" t="s">
        <v>35</v>
      </c>
      <c r="W490" t="s">
        <v>68</v>
      </c>
      <c r="X490" t="s">
        <v>47</v>
      </c>
      <c r="Y490" t="s">
        <v>38</v>
      </c>
      <c r="Z490">
        <v>5</v>
      </c>
      <c r="AA490">
        <f t="shared" si="21"/>
        <v>10</v>
      </c>
      <c r="AB490" t="str">
        <f t="shared" si="22"/>
        <v>No</v>
      </c>
      <c r="AC490" t="str">
        <f t="shared" si="23"/>
        <v>Efficient</v>
      </c>
    </row>
    <row r="491" spans="1:29" x14ac:dyDescent="0.3">
      <c r="A491" t="s">
        <v>612</v>
      </c>
      <c r="B491" s="1">
        <v>46104</v>
      </c>
      <c r="C491" s="1">
        <v>46104</v>
      </c>
      <c r="D491" s="1">
        <v>46106</v>
      </c>
      <c r="E491" t="s">
        <v>72</v>
      </c>
      <c r="F491" t="s">
        <v>73</v>
      </c>
      <c r="G491" t="s">
        <v>74</v>
      </c>
      <c r="H491">
        <v>899</v>
      </c>
      <c r="I491" t="s">
        <v>60</v>
      </c>
      <c r="J491">
        <v>8</v>
      </c>
      <c r="K491">
        <v>9889</v>
      </c>
      <c r="L491">
        <v>10</v>
      </c>
      <c r="M491" t="s">
        <v>61</v>
      </c>
      <c r="N491">
        <v>10</v>
      </c>
      <c r="O491">
        <v>4.4000000000000004</v>
      </c>
      <c r="P491" t="s">
        <v>66</v>
      </c>
      <c r="Q491" t="s">
        <v>33</v>
      </c>
      <c r="R491" t="s">
        <v>34</v>
      </c>
      <c r="S491">
        <v>1</v>
      </c>
      <c r="T491">
        <v>2</v>
      </c>
      <c r="U491">
        <v>1</v>
      </c>
      <c r="V491" t="s">
        <v>46</v>
      </c>
      <c r="W491" t="s">
        <v>36</v>
      </c>
      <c r="X491" t="s">
        <v>95</v>
      </c>
      <c r="Y491" t="s">
        <v>38</v>
      </c>
      <c r="Z491">
        <v>4</v>
      </c>
      <c r="AA491">
        <f t="shared" si="21"/>
        <v>11</v>
      </c>
      <c r="AB491" t="str">
        <f t="shared" si="22"/>
        <v>Yes</v>
      </c>
      <c r="AC491" t="str">
        <f t="shared" si="23"/>
        <v>Needs Improvement</v>
      </c>
    </row>
    <row r="492" spans="1:29" x14ac:dyDescent="0.3">
      <c r="A492" t="s">
        <v>613</v>
      </c>
      <c r="B492" s="1">
        <v>46140</v>
      </c>
      <c r="C492" s="1">
        <v>46140</v>
      </c>
      <c r="D492" s="1">
        <v>46144</v>
      </c>
      <c r="E492" t="s">
        <v>40</v>
      </c>
      <c r="F492" t="s">
        <v>41</v>
      </c>
      <c r="G492" t="s">
        <v>42</v>
      </c>
      <c r="H492">
        <v>1619</v>
      </c>
      <c r="I492" t="s">
        <v>60</v>
      </c>
      <c r="J492">
        <v>8</v>
      </c>
      <c r="K492">
        <v>16190</v>
      </c>
      <c r="L492">
        <v>6</v>
      </c>
      <c r="M492" t="s">
        <v>125</v>
      </c>
      <c r="N492">
        <v>8</v>
      </c>
      <c r="O492">
        <v>4.5</v>
      </c>
      <c r="P492" t="s">
        <v>66</v>
      </c>
      <c r="Q492" t="s">
        <v>33</v>
      </c>
      <c r="R492" t="s">
        <v>34</v>
      </c>
      <c r="S492">
        <v>3</v>
      </c>
      <c r="T492">
        <v>4</v>
      </c>
      <c r="U492">
        <v>1</v>
      </c>
      <c r="V492" t="s">
        <v>46</v>
      </c>
      <c r="W492" t="s">
        <v>36</v>
      </c>
      <c r="X492" t="s">
        <v>47</v>
      </c>
      <c r="Y492" t="s">
        <v>38</v>
      </c>
      <c r="Z492">
        <v>3.1</v>
      </c>
      <c r="AA492">
        <f t="shared" si="21"/>
        <v>10</v>
      </c>
      <c r="AB492" t="str">
        <f t="shared" si="22"/>
        <v>Yes</v>
      </c>
      <c r="AC492" t="str">
        <f t="shared" si="23"/>
        <v>Needs Improvement</v>
      </c>
    </row>
    <row r="493" spans="1:29" x14ac:dyDescent="0.3">
      <c r="A493" t="s">
        <v>614</v>
      </c>
      <c r="B493" s="1">
        <v>46026</v>
      </c>
      <c r="C493" s="1">
        <v>46028</v>
      </c>
      <c r="D493" s="1">
        <v>46029</v>
      </c>
      <c r="E493" t="s">
        <v>72</v>
      </c>
      <c r="F493" t="s">
        <v>73</v>
      </c>
      <c r="G493" t="s">
        <v>74</v>
      </c>
      <c r="H493">
        <v>491</v>
      </c>
      <c r="I493" t="s">
        <v>30</v>
      </c>
      <c r="J493">
        <v>8</v>
      </c>
      <c r="K493">
        <v>3437</v>
      </c>
      <c r="L493">
        <v>10</v>
      </c>
      <c r="M493" t="s">
        <v>145</v>
      </c>
      <c r="N493">
        <v>15</v>
      </c>
      <c r="O493">
        <v>4.5</v>
      </c>
      <c r="P493" t="s">
        <v>32</v>
      </c>
      <c r="Q493" t="s">
        <v>38</v>
      </c>
      <c r="R493" t="s">
        <v>67</v>
      </c>
      <c r="S493">
        <v>1</v>
      </c>
      <c r="T493">
        <v>1</v>
      </c>
      <c r="U493">
        <v>0</v>
      </c>
      <c r="V493" t="s">
        <v>35</v>
      </c>
      <c r="W493" t="s">
        <v>68</v>
      </c>
      <c r="X493" t="s">
        <v>37</v>
      </c>
      <c r="Y493" t="s">
        <v>38</v>
      </c>
      <c r="Z493">
        <v>4.8</v>
      </c>
      <c r="AA493">
        <f t="shared" si="21"/>
        <v>7</v>
      </c>
      <c r="AB493" t="str">
        <f t="shared" si="22"/>
        <v>No</v>
      </c>
      <c r="AC493" t="str">
        <f t="shared" si="23"/>
        <v>Efficient</v>
      </c>
    </row>
    <row r="494" spans="1:29" x14ac:dyDescent="0.3">
      <c r="A494" t="s">
        <v>615</v>
      </c>
      <c r="B494" s="1">
        <v>46115</v>
      </c>
      <c r="C494" s="1">
        <v>46115</v>
      </c>
      <c r="D494" s="1">
        <v>46117</v>
      </c>
      <c r="E494" t="s">
        <v>49</v>
      </c>
      <c r="F494" t="s">
        <v>50</v>
      </c>
      <c r="G494" t="s">
        <v>51</v>
      </c>
      <c r="H494">
        <v>1335</v>
      </c>
      <c r="I494" t="s">
        <v>60</v>
      </c>
      <c r="J494">
        <v>3</v>
      </c>
      <c r="K494">
        <v>9345</v>
      </c>
      <c r="L494">
        <v>5</v>
      </c>
      <c r="M494" t="s">
        <v>283</v>
      </c>
      <c r="N494">
        <v>14</v>
      </c>
      <c r="O494">
        <v>3.5</v>
      </c>
      <c r="P494" t="s">
        <v>32</v>
      </c>
      <c r="Q494" t="s">
        <v>38</v>
      </c>
      <c r="R494" t="s">
        <v>54</v>
      </c>
      <c r="S494">
        <v>2</v>
      </c>
      <c r="T494">
        <v>2</v>
      </c>
      <c r="U494">
        <v>0</v>
      </c>
      <c r="V494" t="s">
        <v>35</v>
      </c>
      <c r="W494" t="s">
        <v>68</v>
      </c>
      <c r="X494" t="s">
        <v>63</v>
      </c>
      <c r="Y494" t="s">
        <v>62</v>
      </c>
      <c r="Z494">
        <v>4.9000000000000004</v>
      </c>
      <c r="AA494">
        <f t="shared" si="21"/>
        <v>7</v>
      </c>
      <c r="AB494" t="str">
        <f t="shared" si="22"/>
        <v>No</v>
      </c>
      <c r="AC494" t="str">
        <f t="shared" si="23"/>
        <v>Efficient</v>
      </c>
    </row>
    <row r="495" spans="1:29" x14ac:dyDescent="0.3">
      <c r="A495" t="s">
        <v>616</v>
      </c>
      <c r="B495" s="1">
        <v>46062</v>
      </c>
      <c r="C495" s="1">
        <v>46063</v>
      </c>
      <c r="D495" s="1">
        <v>46065</v>
      </c>
      <c r="E495" t="s">
        <v>40</v>
      </c>
      <c r="F495" t="s">
        <v>41</v>
      </c>
      <c r="G495" t="s">
        <v>42</v>
      </c>
      <c r="H495">
        <v>957</v>
      </c>
      <c r="I495" t="s">
        <v>30</v>
      </c>
      <c r="J495">
        <v>3</v>
      </c>
      <c r="K495">
        <v>9570</v>
      </c>
      <c r="L495">
        <v>9</v>
      </c>
      <c r="M495" t="s">
        <v>120</v>
      </c>
      <c r="N495">
        <v>15</v>
      </c>
      <c r="O495">
        <v>4.4000000000000004</v>
      </c>
      <c r="P495" t="s">
        <v>32</v>
      </c>
      <c r="Q495" t="s">
        <v>38</v>
      </c>
      <c r="R495" t="s">
        <v>67</v>
      </c>
      <c r="S495">
        <v>2</v>
      </c>
      <c r="T495">
        <v>2</v>
      </c>
      <c r="U495">
        <v>0</v>
      </c>
      <c r="V495" t="s">
        <v>35</v>
      </c>
      <c r="W495" t="s">
        <v>36</v>
      </c>
      <c r="X495" t="s">
        <v>76</v>
      </c>
      <c r="Y495" t="s">
        <v>62</v>
      </c>
      <c r="Z495">
        <v>4.4000000000000004</v>
      </c>
      <c r="AA495">
        <f t="shared" si="21"/>
        <v>10</v>
      </c>
      <c r="AB495" t="str">
        <f t="shared" si="22"/>
        <v>No</v>
      </c>
      <c r="AC495" t="str">
        <f t="shared" si="23"/>
        <v>Efficient</v>
      </c>
    </row>
    <row r="496" spans="1:29" x14ac:dyDescent="0.3">
      <c r="A496" t="s">
        <v>617</v>
      </c>
      <c r="B496" s="1">
        <v>46063</v>
      </c>
      <c r="C496" s="1">
        <v>46065</v>
      </c>
      <c r="D496" s="1">
        <v>46068</v>
      </c>
      <c r="E496" t="s">
        <v>111</v>
      </c>
      <c r="F496" t="s">
        <v>27</v>
      </c>
      <c r="G496" t="s">
        <v>112</v>
      </c>
      <c r="H496">
        <v>1502</v>
      </c>
      <c r="I496" t="s">
        <v>60</v>
      </c>
      <c r="J496">
        <v>1</v>
      </c>
      <c r="K496">
        <v>18024</v>
      </c>
      <c r="L496">
        <v>9</v>
      </c>
      <c r="M496" t="s">
        <v>145</v>
      </c>
      <c r="N496">
        <v>4</v>
      </c>
      <c r="O496">
        <v>4.7</v>
      </c>
      <c r="P496" t="s">
        <v>66</v>
      </c>
      <c r="Q496" t="s">
        <v>38</v>
      </c>
      <c r="R496" t="s">
        <v>34</v>
      </c>
      <c r="S496">
        <v>3</v>
      </c>
      <c r="T496">
        <v>3</v>
      </c>
      <c r="U496">
        <v>0</v>
      </c>
      <c r="V496" t="s">
        <v>35</v>
      </c>
      <c r="W496" t="s">
        <v>55</v>
      </c>
      <c r="X496" t="s">
        <v>47</v>
      </c>
      <c r="Y496" t="s">
        <v>38</v>
      </c>
      <c r="Z496">
        <v>4.7</v>
      </c>
      <c r="AA496">
        <f t="shared" si="21"/>
        <v>12</v>
      </c>
      <c r="AB496" t="str">
        <f t="shared" si="22"/>
        <v>No</v>
      </c>
      <c r="AC496" t="str">
        <f t="shared" si="23"/>
        <v>Efficient</v>
      </c>
    </row>
    <row r="497" spans="1:29" x14ac:dyDescent="0.3">
      <c r="A497" t="s">
        <v>618</v>
      </c>
      <c r="B497" s="1">
        <v>46097</v>
      </c>
      <c r="C497" s="1">
        <v>46098</v>
      </c>
      <c r="D497" s="1">
        <v>46105</v>
      </c>
      <c r="E497" t="s">
        <v>40</v>
      </c>
      <c r="F497" t="s">
        <v>41</v>
      </c>
      <c r="G497" t="s">
        <v>42</v>
      </c>
      <c r="H497">
        <v>1689</v>
      </c>
      <c r="I497" t="s">
        <v>87</v>
      </c>
      <c r="J497">
        <v>8</v>
      </c>
      <c r="K497">
        <v>20268</v>
      </c>
      <c r="L497">
        <v>10</v>
      </c>
      <c r="M497" t="s">
        <v>139</v>
      </c>
      <c r="N497">
        <v>2</v>
      </c>
      <c r="O497">
        <v>3.3</v>
      </c>
      <c r="P497" t="s">
        <v>53</v>
      </c>
      <c r="Q497" t="s">
        <v>33</v>
      </c>
      <c r="R497" t="s">
        <v>54</v>
      </c>
      <c r="S497">
        <v>3</v>
      </c>
      <c r="T497">
        <v>7</v>
      </c>
      <c r="U497">
        <v>4</v>
      </c>
      <c r="V497" t="s">
        <v>46</v>
      </c>
      <c r="W497" t="s">
        <v>68</v>
      </c>
      <c r="X497" t="s">
        <v>37</v>
      </c>
      <c r="Y497" t="s">
        <v>62</v>
      </c>
      <c r="Z497">
        <v>4.4000000000000004</v>
      </c>
      <c r="AA497">
        <f t="shared" si="21"/>
        <v>12</v>
      </c>
      <c r="AB497" t="str">
        <f t="shared" si="22"/>
        <v>Yes</v>
      </c>
      <c r="AC497" t="str">
        <f t="shared" si="23"/>
        <v>Needs Improvement</v>
      </c>
    </row>
    <row r="498" spans="1:29" x14ac:dyDescent="0.3">
      <c r="A498" t="s">
        <v>619</v>
      </c>
      <c r="B498" s="1">
        <v>46090</v>
      </c>
      <c r="C498" s="1">
        <v>46092</v>
      </c>
      <c r="D498" s="1">
        <v>46095</v>
      </c>
      <c r="E498" t="s">
        <v>92</v>
      </c>
      <c r="F498" t="s">
        <v>93</v>
      </c>
      <c r="G498" t="s">
        <v>94</v>
      </c>
      <c r="H498">
        <v>1665</v>
      </c>
      <c r="I498" t="s">
        <v>43</v>
      </c>
      <c r="J498">
        <v>8</v>
      </c>
      <c r="K498">
        <v>13320</v>
      </c>
      <c r="L498">
        <v>9</v>
      </c>
      <c r="M498" t="s">
        <v>205</v>
      </c>
      <c r="N498">
        <v>11</v>
      </c>
      <c r="O498">
        <v>4.8</v>
      </c>
      <c r="P498" t="s">
        <v>32</v>
      </c>
      <c r="Q498" t="s">
        <v>38</v>
      </c>
      <c r="R498" t="s">
        <v>67</v>
      </c>
      <c r="S498">
        <v>3</v>
      </c>
      <c r="T498">
        <v>3</v>
      </c>
      <c r="U498">
        <v>0</v>
      </c>
      <c r="V498" t="s">
        <v>35</v>
      </c>
      <c r="W498" t="s">
        <v>68</v>
      </c>
      <c r="X498" t="s">
        <v>37</v>
      </c>
      <c r="Y498" t="s">
        <v>62</v>
      </c>
      <c r="Z498">
        <v>3.4</v>
      </c>
      <c r="AA498">
        <f t="shared" si="21"/>
        <v>8</v>
      </c>
      <c r="AB498" t="str">
        <f t="shared" si="22"/>
        <v>No</v>
      </c>
      <c r="AC498" t="str">
        <f t="shared" si="23"/>
        <v>Efficient</v>
      </c>
    </row>
    <row r="499" spans="1:29" x14ac:dyDescent="0.3">
      <c r="A499" t="s">
        <v>620</v>
      </c>
      <c r="B499" s="1">
        <v>46077</v>
      </c>
      <c r="C499" s="1">
        <v>46078</v>
      </c>
      <c r="D499" s="1">
        <v>46083</v>
      </c>
      <c r="E499" t="s">
        <v>82</v>
      </c>
      <c r="F499" t="s">
        <v>83</v>
      </c>
      <c r="G499" t="s">
        <v>84</v>
      </c>
      <c r="H499">
        <v>966</v>
      </c>
      <c r="I499" t="s">
        <v>30</v>
      </c>
      <c r="J499">
        <v>9</v>
      </c>
      <c r="K499">
        <v>5796</v>
      </c>
      <c r="L499">
        <v>6</v>
      </c>
      <c r="M499" t="s">
        <v>190</v>
      </c>
      <c r="N499">
        <v>2</v>
      </c>
      <c r="O499">
        <v>3.6</v>
      </c>
      <c r="P499" t="s">
        <v>66</v>
      </c>
      <c r="Q499" t="s">
        <v>38</v>
      </c>
      <c r="R499" t="s">
        <v>54</v>
      </c>
      <c r="S499">
        <v>2</v>
      </c>
      <c r="T499">
        <v>5</v>
      </c>
      <c r="U499">
        <v>3</v>
      </c>
      <c r="V499" t="s">
        <v>46</v>
      </c>
      <c r="W499" t="s">
        <v>55</v>
      </c>
      <c r="X499" t="s">
        <v>76</v>
      </c>
      <c r="Y499" t="s">
        <v>62</v>
      </c>
      <c r="Z499">
        <v>3.9</v>
      </c>
      <c r="AA499">
        <f t="shared" si="21"/>
        <v>6</v>
      </c>
      <c r="AB499" t="str">
        <f t="shared" si="22"/>
        <v>Yes</v>
      </c>
      <c r="AC499" t="str">
        <f t="shared" si="23"/>
        <v>Needs Improvement</v>
      </c>
    </row>
    <row r="500" spans="1:29" x14ac:dyDescent="0.3">
      <c r="A500" t="s">
        <v>621</v>
      </c>
      <c r="B500" s="1">
        <v>46082</v>
      </c>
      <c r="C500" s="1">
        <v>46083</v>
      </c>
      <c r="D500" s="1">
        <v>46087</v>
      </c>
      <c r="E500" t="s">
        <v>111</v>
      </c>
      <c r="F500" t="s">
        <v>27</v>
      </c>
      <c r="G500" t="s">
        <v>112</v>
      </c>
      <c r="H500">
        <v>952</v>
      </c>
      <c r="I500" t="s">
        <v>43</v>
      </c>
      <c r="J500">
        <v>6</v>
      </c>
      <c r="K500">
        <v>7616</v>
      </c>
      <c r="L500">
        <v>8</v>
      </c>
      <c r="M500" t="s">
        <v>135</v>
      </c>
      <c r="N500">
        <v>3</v>
      </c>
      <c r="O500">
        <v>3.9</v>
      </c>
      <c r="P500" t="s">
        <v>66</v>
      </c>
      <c r="Q500" t="s">
        <v>33</v>
      </c>
      <c r="R500" t="s">
        <v>67</v>
      </c>
      <c r="S500">
        <v>2</v>
      </c>
      <c r="T500">
        <v>4</v>
      </c>
      <c r="U500">
        <v>2</v>
      </c>
      <c r="V500" t="s">
        <v>46</v>
      </c>
      <c r="W500" t="s">
        <v>55</v>
      </c>
      <c r="X500" t="s">
        <v>76</v>
      </c>
      <c r="Y500" t="s">
        <v>33</v>
      </c>
      <c r="Z500">
        <v>4.3</v>
      </c>
      <c r="AA500">
        <f t="shared" si="21"/>
        <v>8</v>
      </c>
      <c r="AB500" t="str">
        <f t="shared" si="22"/>
        <v>Yes</v>
      </c>
      <c r="AC500" t="str">
        <f t="shared" si="23"/>
        <v>Needs Improvement</v>
      </c>
    </row>
    <row r="501" spans="1:29" x14ac:dyDescent="0.3">
      <c r="A501" t="s">
        <v>622</v>
      </c>
      <c r="B501" s="1">
        <v>46123</v>
      </c>
      <c r="C501" s="1">
        <v>46124</v>
      </c>
      <c r="D501" s="1">
        <v>46127</v>
      </c>
      <c r="E501" t="s">
        <v>40</v>
      </c>
      <c r="F501" t="s">
        <v>41</v>
      </c>
      <c r="G501" t="s">
        <v>42</v>
      </c>
      <c r="H501">
        <v>401</v>
      </c>
      <c r="I501" t="s">
        <v>87</v>
      </c>
      <c r="J501">
        <v>2</v>
      </c>
      <c r="K501">
        <v>3208</v>
      </c>
      <c r="L501">
        <v>5</v>
      </c>
      <c r="M501" t="s">
        <v>52</v>
      </c>
      <c r="N501">
        <v>4</v>
      </c>
      <c r="O501">
        <v>3.7</v>
      </c>
      <c r="P501" t="s">
        <v>66</v>
      </c>
      <c r="Q501" t="s">
        <v>62</v>
      </c>
      <c r="R501" t="s">
        <v>34</v>
      </c>
      <c r="S501">
        <v>1</v>
      </c>
      <c r="T501">
        <v>3</v>
      </c>
      <c r="U501">
        <v>2</v>
      </c>
      <c r="V501" t="s">
        <v>46</v>
      </c>
      <c r="W501" t="s">
        <v>36</v>
      </c>
      <c r="X501" t="s">
        <v>76</v>
      </c>
      <c r="Y501" t="s">
        <v>38</v>
      </c>
      <c r="Z501">
        <v>5</v>
      </c>
      <c r="AA501">
        <f t="shared" si="21"/>
        <v>8</v>
      </c>
      <c r="AB501" t="str">
        <f t="shared" si="22"/>
        <v>Yes</v>
      </c>
      <c r="AC501" t="str">
        <f t="shared" si="23"/>
        <v>Needs Improvement</v>
      </c>
    </row>
  </sheetData>
  <autoFilter ref="A1:Z1" xr:uid="{4E64A2FF-6F17-44D6-9DB3-950BFC81E6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755B-9723-4591-97C3-64F17D922B67}">
  <dimension ref="A1:B12"/>
  <sheetViews>
    <sheetView tabSelected="1" workbookViewId="0">
      <selection activeCell="B6" sqref="B6"/>
    </sheetView>
  </sheetViews>
  <sheetFormatPr defaultRowHeight="14.4" x14ac:dyDescent="0.3"/>
  <cols>
    <col min="1" max="1" width="22.21875" customWidth="1"/>
    <col min="2" max="2" width="21.21875" customWidth="1"/>
  </cols>
  <sheetData>
    <row r="1" spans="1:2" x14ac:dyDescent="0.3">
      <c r="A1" s="13" t="s">
        <v>625</v>
      </c>
      <c r="B1" s="14"/>
    </row>
    <row r="2" spans="1:2" x14ac:dyDescent="0.3">
      <c r="A2" s="15"/>
      <c r="B2" s="16"/>
    </row>
    <row r="3" spans="1:2" x14ac:dyDescent="0.3">
      <c r="A3" s="4" t="s">
        <v>626</v>
      </c>
      <c r="B3" s="4">
        <f>COUNTA('Cleaned Data'!A2:A501)</f>
        <v>500</v>
      </c>
    </row>
    <row r="4" spans="1:2" x14ac:dyDescent="0.3">
      <c r="A4" s="4" t="s">
        <v>627</v>
      </c>
      <c r="B4" s="4">
        <f>COUNTIF('Cleaned Data'!V2:V501,"Delayed")</f>
        <v>355</v>
      </c>
    </row>
    <row r="5" spans="1:2" x14ac:dyDescent="0.3">
      <c r="A5" s="4" t="s">
        <v>628</v>
      </c>
      <c r="B5" s="4">
        <f>COUNTIF('Cleaned Data'!V2:V501,"On Time")</f>
        <v>145</v>
      </c>
    </row>
    <row r="6" spans="1:2" x14ac:dyDescent="0.3">
      <c r="A6" s="4" t="s">
        <v>629</v>
      </c>
      <c r="B6" s="5">
        <f>(B4/B3)</f>
        <v>0.71</v>
      </c>
    </row>
    <row r="7" spans="1:2" x14ac:dyDescent="0.3">
      <c r="A7" s="4" t="s">
        <v>630</v>
      </c>
      <c r="B7" s="6">
        <f>AVERAGE('Cleaned Data'!K2:K501)</f>
        <v>8860.7520000000004</v>
      </c>
    </row>
    <row r="8" spans="1:2" x14ac:dyDescent="0.3">
      <c r="A8" s="4" t="s">
        <v>631</v>
      </c>
      <c r="B8" s="4">
        <f>AVERAGE('Cleaned Data'!T2:T501)</f>
        <v>3.3140000000000001</v>
      </c>
    </row>
    <row r="9" spans="1:2" x14ac:dyDescent="0.3">
      <c r="A9" s="4" t="s">
        <v>632</v>
      </c>
      <c r="B9" s="7">
        <f>AVERAGE('Cleaned Data'!H2:H501)</f>
        <v>1020.658</v>
      </c>
    </row>
    <row r="10" spans="1:2" x14ac:dyDescent="0.3">
      <c r="A10" s="4" t="s">
        <v>633</v>
      </c>
      <c r="B10" s="4">
        <f>MAX('Cleaned Data'!K2:K501)</f>
        <v>20544</v>
      </c>
    </row>
    <row r="11" spans="1:2" x14ac:dyDescent="0.3">
      <c r="A11" s="4" t="s">
        <v>634</v>
      </c>
      <c r="B11" s="4">
        <f>MIN('Cleaned Data'!K2:K501)</f>
        <v>1428</v>
      </c>
    </row>
    <row r="12" spans="1:2" x14ac:dyDescent="0.3">
      <c r="A12" s="4" t="s">
        <v>635</v>
      </c>
      <c r="B12" s="7">
        <f>AVERAGE('Cleaned Data'!O2:O501)</f>
        <v>4.0396000000000001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ED75-E70A-4129-9109-41EF2317CCAA}">
  <dimension ref="A1:L12"/>
  <sheetViews>
    <sheetView zoomScaleNormal="100" workbookViewId="0">
      <selection activeCell="E8" sqref="E8"/>
    </sheetView>
  </sheetViews>
  <sheetFormatPr defaultColWidth="19.33203125" defaultRowHeight="14.4" x14ac:dyDescent="0.3"/>
  <cols>
    <col min="1" max="1" width="12.5546875" bestFit="1" customWidth="1"/>
    <col min="2" max="2" width="20.44140625" bestFit="1" customWidth="1"/>
    <col min="3" max="3" width="20" customWidth="1"/>
    <col min="7" max="7" width="12.5546875" bestFit="1" customWidth="1"/>
    <col min="8" max="8" width="20.44140625" bestFit="1" customWidth="1"/>
  </cols>
  <sheetData>
    <row r="1" spans="1:12" x14ac:dyDescent="0.3">
      <c r="A1" s="17" t="s">
        <v>639</v>
      </c>
      <c r="B1" s="17"/>
      <c r="C1" s="17"/>
      <c r="D1" s="17"/>
      <c r="E1" s="17"/>
      <c r="F1" s="12"/>
      <c r="G1" s="12"/>
      <c r="H1" s="12"/>
      <c r="I1" s="12"/>
      <c r="J1" s="12"/>
      <c r="K1" s="12"/>
      <c r="L1" s="12"/>
    </row>
    <row r="3" spans="1:12" x14ac:dyDescent="0.3">
      <c r="A3" s="8" t="s">
        <v>636</v>
      </c>
      <c r="B3" t="s">
        <v>638</v>
      </c>
    </row>
    <row r="4" spans="1:12" x14ac:dyDescent="0.3">
      <c r="A4" s="9" t="s">
        <v>51</v>
      </c>
      <c r="B4" s="10">
        <v>1.5777777777777777</v>
      </c>
    </row>
    <row r="5" spans="1:12" x14ac:dyDescent="0.3">
      <c r="A5" s="9" t="s">
        <v>74</v>
      </c>
      <c r="B5" s="10">
        <v>1.338235294117647</v>
      </c>
    </row>
    <row r="6" spans="1:12" x14ac:dyDescent="0.3">
      <c r="A6" s="9" t="s">
        <v>42</v>
      </c>
      <c r="B6" s="10">
        <v>1.4393939393939394</v>
      </c>
    </row>
    <row r="7" spans="1:12" x14ac:dyDescent="0.3">
      <c r="A7" s="9" t="s">
        <v>29</v>
      </c>
      <c r="B7" s="10">
        <v>1.6024096385542168</v>
      </c>
    </row>
    <row r="8" spans="1:12" x14ac:dyDescent="0.3">
      <c r="A8" s="9" t="s">
        <v>84</v>
      </c>
      <c r="B8" s="10">
        <v>1.2857142857142858</v>
      </c>
    </row>
    <row r="9" spans="1:12" x14ac:dyDescent="0.3">
      <c r="A9" s="9" t="s">
        <v>59</v>
      </c>
      <c r="B9" s="10">
        <v>1.5964912280701755</v>
      </c>
    </row>
    <row r="10" spans="1:12" x14ac:dyDescent="0.3">
      <c r="A10" s="9" t="s">
        <v>112</v>
      </c>
      <c r="B10" s="10">
        <v>1.4838709677419355</v>
      </c>
    </row>
    <row r="11" spans="1:12" x14ac:dyDescent="0.3">
      <c r="A11" s="9" t="s">
        <v>94</v>
      </c>
      <c r="B11" s="10">
        <v>1.2142857142857142</v>
      </c>
    </row>
    <row r="12" spans="1:12" x14ac:dyDescent="0.3">
      <c r="A12" s="9" t="s">
        <v>637</v>
      </c>
      <c r="B12" s="10">
        <v>1.444</v>
      </c>
    </row>
  </sheetData>
  <mergeCells count="1">
    <mergeCell ref="A1:E1"/>
  </mergeCell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3A09-1EA8-4D00-8299-52B41513D191}">
  <dimension ref="A1:E8"/>
  <sheetViews>
    <sheetView zoomScaleNormal="100" workbookViewId="0">
      <selection activeCell="I20" sqref="I20"/>
    </sheetView>
  </sheetViews>
  <sheetFormatPr defaultColWidth="19.33203125" defaultRowHeight="14.4" x14ac:dyDescent="0.3"/>
  <cols>
    <col min="1" max="1" width="12.5546875" bestFit="1" customWidth="1"/>
    <col min="2" max="2" width="20.44140625" bestFit="1" customWidth="1"/>
    <col min="3" max="3" width="20" customWidth="1"/>
    <col min="7" max="7" width="12.5546875" bestFit="1" customWidth="1"/>
    <col min="8" max="8" width="22.21875" bestFit="1" customWidth="1"/>
    <col min="9" max="9" width="20.44140625" bestFit="1" customWidth="1"/>
  </cols>
  <sheetData>
    <row r="1" spans="1:5" x14ac:dyDescent="0.3">
      <c r="A1" s="17" t="s">
        <v>640</v>
      </c>
      <c r="B1" s="18"/>
      <c r="C1" s="18"/>
      <c r="D1" s="18"/>
      <c r="E1" s="18"/>
    </row>
    <row r="3" spans="1:5" x14ac:dyDescent="0.3">
      <c r="A3" t="s">
        <v>636</v>
      </c>
      <c r="B3" t="s">
        <v>638</v>
      </c>
    </row>
    <row r="4" spans="1:5" x14ac:dyDescent="0.3">
      <c r="A4" s="9" t="s">
        <v>66</v>
      </c>
      <c r="B4" s="10">
        <v>1.3740458015267176</v>
      </c>
    </row>
    <row r="5" spans="1:5" x14ac:dyDescent="0.3">
      <c r="A5" s="9" t="s">
        <v>45</v>
      </c>
      <c r="B5" s="10">
        <v>1.5862068965517242</v>
      </c>
    </row>
    <row r="6" spans="1:5" x14ac:dyDescent="0.3">
      <c r="A6" s="9" t="s">
        <v>53</v>
      </c>
      <c r="B6" s="10">
        <v>1.588235294117647</v>
      </c>
    </row>
    <row r="7" spans="1:5" x14ac:dyDescent="0.3">
      <c r="A7" s="9" t="s">
        <v>32</v>
      </c>
      <c r="B7" s="10">
        <v>1.2136752136752136</v>
      </c>
    </row>
    <row r="8" spans="1:5" x14ac:dyDescent="0.3">
      <c r="A8" s="9" t="s">
        <v>637</v>
      </c>
      <c r="B8" s="10">
        <v>1.444</v>
      </c>
    </row>
  </sheetData>
  <mergeCells count="1">
    <mergeCell ref="A1:E1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1EF63-3ED2-480E-8C4A-0B3E26D162D3}">
  <dimension ref="A1:E8"/>
  <sheetViews>
    <sheetView zoomScaleNormal="100" workbookViewId="0">
      <selection activeCell="J26" sqref="J26"/>
    </sheetView>
  </sheetViews>
  <sheetFormatPr defaultColWidth="19.33203125" defaultRowHeight="14.4" x14ac:dyDescent="0.3"/>
  <cols>
    <col min="1" max="1" width="12.5546875" bestFit="1" customWidth="1"/>
    <col min="2" max="2" width="20.44140625" bestFit="1" customWidth="1"/>
    <col min="3" max="3" width="20" customWidth="1"/>
    <col min="7" max="7" width="12.5546875" bestFit="1" customWidth="1"/>
    <col min="8" max="8" width="22.21875" bestFit="1" customWidth="1"/>
    <col min="9" max="9" width="20.44140625" bestFit="1" customWidth="1"/>
  </cols>
  <sheetData>
    <row r="1" spans="1:5" x14ac:dyDescent="0.3">
      <c r="A1" s="17" t="s">
        <v>641</v>
      </c>
      <c r="B1" s="18"/>
      <c r="C1" s="18"/>
      <c r="D1" s="18"/>
      <c r="E1" s="18"/>
    </row>
    <row r="3" spans="1:5" x14ac:dyDescent="0.3">
      <c r="A3" t="s">
        <v>636</v>
      </c>
      <c r="B3" t="s">
        <v>638</v>
      </c>
    </row>
    <row r="4" spans="1:5" x14ac:dyDescent="0.3">
      <c r="A4" s="9" t="s">
        <v>30</v>
      </c>
      <c r="B4" s="10">
        <v>1.5606060606060606</v>
      </c>
    </row>
    <row r="5" spans="1:5" x14ac:dyDescent="0.3">
      <c r="A5" s="9" t="s">
        <v>60</v>
      </c>
      <c r="B5" s="10">
        <v>1.415929203539823</v>
      </c>
    </row>
    <row r="6" spans="1:5" x14ac:dyDescent="0.3">
      <c r="A6" s="9" t="s">
        <v>87</v>
      </c>
      <c r="B6" s="10">
        <v>1.278688524590164</v>
      </c>
    </row>
    <row r="7" spans="1:5" x14ac:dyDescent="0.3">
      <c r="A7" s="9" t="s">
        <v>43</v>
      </c>
      <c r="B7" s="10">
        <v>1.5037593984962405</v>
      </c>
    </row>
    <row r="8" spans="1:5" x14ac:dyDescent="0.3">
      <c r="A8" s="9" t="s">
        <v>637</v>
      </c>
      <c r="B8" s="11">
        <v>1.444</v>
      </c>
    </row>
  </sheetData>
  <mergeCells count="1">
    <mergeCell ref="A1:E1"/>
  </mergeCell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25C0-FF6C-4562-B659-3685F5E07F88}">
  <dimension ref="A1:E54"/>
  <sheetViews>
    <sheetView zoomScaleNormal="100" workbookViewId="0">
      <selection activeCell="V23" sqref="U23:V24"/>
    </sheetView>
  </sheetViews>
  <sheetFormatPr defaultColWidth="19.33203125" defaultRowHeight="14.4" x14ac:dyDescent="0.3"/>
  <cols>
    <col min="1" max="1" width="12.5546875" bestFit="1" customWidth="1"/>
    <col min="2" max="2" width="22.21875" bestFit="1" customWidth="1"/>
    <col min="3" max="3" width="20.44140625" bestFit="1" customWidth="1"/>
    <col min="7" max="7" width="12.5546875" bestFit="1" customWidth="1"/>
    <col min="8" max="8" width="22.21875" bestFit="1" customWidth="1"/>
    <col min="9" max="9" width="20.44140625" bestFit="1" customWidth="1"/>
  </cols>
  <sheetData>
    <row r="1" spans="1:5" x14ac:dyDescent="0.3">
      <c r="A1" s="17" t="s">
        <v>642</v>
      </c>
      <c r="B1" s="18"/>
      <c r="C1" s="18"/>
      <c r="D1" s="18"/>
      <c r="E1" s="18"/>
    </row>
    <row r="3" spans="1:5" x14ac:dyDescent="0.3">
      <c r="A3" s="8" t="s">
        <v>636</v>
      </c>
      <c r="B3" t="s">
        <v>643</v>
      </c>
      <c r="C3" t="s">
        <v>638</v>
      </c>
    </row>
    <row r="4" spans="1:5" x14ac:dyDescent="0.3">
      <c r="A4" s="9" t="s">
        <v>158</v>
      </c>
      <c r="B4" s="10">
        <v>3.875</v>
      </c>
      <c r="C4" s="10">
        <v>1.75</v>
      </c>
    </row>
    <row r="5" spans="1:5" x14ac:dyDescent="0.3">
      <c r="A5" s="9" t="s">
        <v>135</v>
      </c>
      <c r="B5" s="10">
        <v>4.0555555555555545</v>
      </c>
      <c r="C5" s="10">
        <v>1</v>
      </c>
    </row>
    <row r="6" spans="1:5" x14ac:dyDescent="0.3">
      <c r="A6" s="9" t="s">
        <v>172</v>
      </c>
      <c r="B6" s="10">
        <v>4.1333333333333337</v>
      </c>
      <c r="C6" s="10">
        <v>1.8333333333333333</v>
      </c>
    </row>
    <row r="7" spans="1:5" x14ac:dyDescent="0.3">
      <c r="A7" s="9" t="s">
        <v>208</v>
      </c>
      <c r="B7" s="10">
        <v>3.8846153846153841</v>
      </c>
      <c r="C7" s="10">
        <v>1.6153846153846154</v>
      </c>
    </row>
    <row r="8" spans="1:5" x14ac:dyDescent="0.3">
      <c r="A8" s="9" t="s">
        <v>165</v>
      </c>
      <c r="B8" s="10">
        <v>4.3599999999999994</v>
      </c>
      <c r="C8" s="10">
        <v>1.4</v>
      </c>
    </row>
    <row r="9" spans="1:5" x14ac:dyDescent="0.3">
      <c r="A9" s="9" t="s">
        <v>109</v>
      </c>
      <c r="B9" s="10">
        <v>3.9083333333333332</v>
      </c>
      <c r="C9" s="10">
        <v>1.1666666666666667</v>
      </c>
    </row>
    <row r="10" spans="1:5" x14ac:dyDescent="0.3">
      <c r="A10" s="9" t="s">
        <v>107</v>
      </c>
      <c r="B10" s="10">
        <v>4.1142857142857148</v>
      </c>
      <c r="C10" s="10">
        <v>1.7142857142857142</v>
      </c>
    </row>
    <row r="11" spans="1:5" x14ac:dyDescent="0.3">
      <c r="A11" s="9" t="s">
        <v>118</v>
      </c>
      <c r="B11" s="10">
        <v>4</v>
      </c>
      <c r="C11" s="10">
        <v>1.7142857142857142</v>
      </c>
    </row>
    <row r="12" spans="1:5" x14ac:dyDescent="0.3">
      <c r="A12" s="9" t="s">
        <v>147</v>
      </c>
      <c r="B12" s="10">
        <v>4.24</v>
      </c>
      <c r="C12" s="10">
        <v>1.1000000000000001</v>
      </c>
    </row>
    <row r="13" spans="1:5" x14ac:dyDescent="0.3">
      <c r="A13" s="9" t="s">
        <v>70</v>
      </c>
      <c r="B13" s="10">
        <v>3.9933333333333332</v>
      </c>
      <c r="C13" s="10">
        <v>1.5333333333333334</v>
      </c>
    </row>
    <row r="14" spans="1:5" x14ac:dyDescent="0.3">
      <c r="A14" s="9" t="s">
        <v>101</v>
      </c>
      <c r="B14" s="10">
        <v>4</v>
      </c>
      <c r="C14" s="10">
        <v>1.2</v>
      </c>
    </row>
    <row r="15" spans="1:5" x14ac:dyDescent="0.3">
      <c r="A15" s="9" t="s">
        <v>283</v>
      </c>
      <c r="B15" s="10">
        <v>3.8200000000000003</v>
      </c>
      <c r="C15" s="10">
        <v>1.9</v>
      </c>
    </row>
    <row r="16" spans="1:5" x14ac:dyDescent="0.3">
      <c r="A16" s="9" t="s">
        <v>160</v>
      </c>
      <c r="B16" s="10">
        <v>4.5111111111111111</v>
      </c>
      <c r="C16" s="10">
        <v>2.1111111111111112</v>
      </c>
    </row>
    <row r="17" spans="1:3" x14ac:dyDescent="0.3">
      <c r="A17" s="9" t="s">
        <v>90</v>
      </c>
      <c r="B17" s="10">
        <v>3.6666666666666665</v>
      </c>
      <c r="C17" s="10">
        <v>0.44444444444444442</v>
      </c>
    </row>
    <row r="18" spans="1:3" x14ac:dyDescent="0.3">
      <c r="A18" s="9" t="s">
        <v>239</v>
      </c>
      <c r="B18" s="10">
        <v>4.1142857142857139</v>
      </c>
      <c r="C18" s="10">
        <v>1</v>
      </c>
    </row>
    <row r="19" spans="1:3" x14ac:dyDescent="0.3">
      <c r="A19" s="9" t="s">
        <v>125</v>
      </c>
      <c r="B19" s="10">
        <v>4.1363636363636367</v>
      </c>
      <c r="C19" s="10">
        <v>1.1818181818181819</v>
      </c>
    </row>
    <row r="20" spans="1:3" x14ac:dyDescent="0.3">
      <c r="A20" s="9" t="s">
        <v>243</v>
      </c>
      <c r="B20" s="10">
        <v>4.0249999999999995</v>
      </c>
      <c r="C20" s="10">
        <v>0.875</v>
      </c>
    </row>
    <row r="21" spans="1:3" x14ac:dyDescent="0.3">
      <c r="A21" s="9" t="s">
        <v>44</v>
      </c>
      <c r="B21" s="10">
        <v>4.1285714285714281</v>
      </c>
      <c r="C21" s="10">
        <v>1.4285714285714286</v>
      </c>
    </row>
    <row r="22" spans="1:3" x14ac:dyDescent="0.3">
      <c r="A22" s="9" t="s">
        <v>99</v>
      </c>
      <c r="B22" s="10">
        <v>4.25</v>
      </c>
      <c r="C22" s="10">
        <v>1.6875</v>
      </c>
    </row>
    <row r="23" spans="1:3" x14ac:dyDescent="0.3">
      <c r="A23" s="9" t="s">
        <v>131</v>
      </c>
      <c r="B23" s="10">
        <v>3.9928571428571429</v>
      </c>
      <c r="C23" s="10">
        <v>1.6428571428571428</v>
      </c>
    </row>
    <row r="24" spans="1:3" x14ac:dyDescent="0.3">
      <c r="A24" s="9" t="s">
        <v>226</v>
      </c>
      <c r="B24" s="10">
        <v>3.8636363636363638</v>
      </c>
      <c r="C24" s="10">
        <v>0.72727272727272729</v>
      </c>
    </row>
    <row r="25" spans="1:3" x14ac:dyDescent="0.3">
      <c r="A25" s="9" t="s">
        <v>143</v>
      </c>
      <c r="B25" s="10">
        <v>3.9777777777777774</v>
      </c>
      <c r="C25" s="10">
        <v>1.4444444444444444</v>
      </c>
    </row>
    <row r="26" spans="1:3" x14ac:dyDescent="0.3">
      <c r="A26" s="9" t="s">
        <v>178</v>
      </c>
      <c r="B26" s="10">
        <v>4</v>
      </c>
      <c r="C26" s="10">
        <v>0.88888888888888884</v>
      </c>
    </row>
    <row r="27" spans="1:3" x14ac:dyDescent="0.3">
      <c r="A27" s="9" t="s">
        <v>80</v>
      </c>
      <c r="B27" s="10">
        <v>3.8428571428571425</v>
      </c>
      <c r="C27" s="10">
        <v>1.7142857142857142</v>
      </c>
    </row>
    <row r="28" spans="1:3" x14ac:dyDescent="0.3">
      <c r="A28" s="9" t="s">
        <v>75</v>
      </c>
      <c r="B28" s="10">
        <v>4</v>
      </c>
      <c r="C28" s="10">
        <v>0.7142857142857143</v>
      </c>
    </row>
    <row r="29" spans="1:3" x14ac:dyDescent="0.3">
      <c r="A29" s="9" t="s">
        <v>205</v>
      </c>
      <c r="B29" s="10">
        <v>4.0599999999999996</v>
      </c>
      <c r="C29" s="10">
        <v>1.1333333333333333</v>
      </c>
    </row>
    <row r="30" spans="1:3" x14ac:dyDescent="0.3">
      <c r="A30" s="9" t="s">
        <v>114</v>
      </c>
      <c r="B30" s="10">
        <v>4.1222222222222227</v>
      </c>
      <c r="C30" s="10">
        <v>1.4444444444444444</v>
      </c>
    </row>
    <row r="31" spans="1:3" x14ac:dyDescent="0.3">
      <c r="A31" s="9" t="s">
        <v>120</v>
      </c>
      <c r="B31" s="10">
        <v>3.8428571428571425</v>
      </c>
      <c r="C31" s="10">
        <v>0.8571428571428571</v>
      </c>
    </row>
    <row r="32" spans="1:3" x14ac:dyDescent="0.3">
      <c r="A32" s="9" t="s">
        <v>128</v>
      </c>
      <c r="B32" s="10">
        <v>4.1857142857142859</v>
      </c>
      <c r="C32" s="10">
        <v>1.7857142857142858</v>
      </c>
    </row>
    <row r="33" spans="1:3" x14ac:dyDescent="0.3">
      <c r="A33" s="9" t="s">
        <v>61</v>
      </c>
      <c r="B33" s="10">
        <v>4.081818181818182</v>
      </c>
      <c r="C33" s="10">
        <v>1.7272727272727273</v>
      </c>
    </row>
    <row r="34" spans="1:3" x14ac:dyDescent="0.3">
      <c r="A34" s="9" t="s">
        <v>116</v>
      </c>
      <c r="B34" s="10">
        <v>3.8909090909090907</v>
      </c>
      <c r="C34" s="10">
        <v>1.7272727272727273</v>
      </c>
    </row>
    <row r="35" spans="1:3" x14ac:dyDescent="0.3">
      <c r="A35" s="9" t="s">
        <v>153</v>
      </c>
      <c r="B35" s="10">
        <v>4.0000000000000009</v>
      </c>
      <c r="C35" s="10">
        <v>1.8461538461538463</v>
      </c>
    </row>
    <row r="36" spans="1:3" x14ac:dyDescent="0.3">
      <c r="A36" s="9" t="s">
        <v>186</v>
      </c>
      <c r="B36" s="10">
        <v>4.0714285714285712</v>
      </c>
      <c r="C36" s="10">
        <v>1.8571428571428572</v>
      </c>
    </row>
    <row r="37" spans="1:3" x14ac:dyDescent="0.3">
      <c r="A37" s="9" t="s">
        <v>85</v>
      </c>
      <c r="B37" s="10">
        <v>4.0444444444444452</v>
      </c>
      <c r="C37" s="10">
        <v>1.8888888888888888</v>
      </c>
    </row>
    <row r="38" spans="1:3" x14ac:dyDescent="0.3">
      <c r="A38" s="9" t="s">
        <v>52</v>
      </c>
      <c r="B38" s="10">
        <v>4.1357142857142852</v>
      </c>
      <c r="C38" s="10">
        <v>1.5714285714285714</v>
      </c>
    </row>
    <row r="39" spans="1:3" x14ac:dyDescent="0.3">
      <c r="A39" s="9" t="s">
        <v>88</v>
      </c>
      <c r="B39" s="10">
        <v>4.0200000000000005</v>
      </c>
      <c r="C39" s="10">
        <v>0.9</v>
      </c>
    </row>
    <row r="40" spans="1:3" x14ac:dyDescent="0.3">
      <c r="A40" s="9" t="s">
        <v>105</v>
      </c>
      <c r="B40" s="10">
        <v>4.127272727272727</v>
      </c>
      <c r="C40" s="10">
        <v>1.5454545454545454</v>
      </c>
    </row>
    <row r="41" spans="1:3" x14ac:dyDescent="0.3">
      <c r="A41" s="9" t="s">
        <v>145</v>
      </c>
      <c r="B41" s="10">
        <v>3.9785714285714286</v>
      </c>
      <c r="C41" s="10">
        <v>1.0714285714285714</v>
      </c>
    </row>
    <row r="42" spans="1:3" x14ac:dyDescent="0.3">
      <c r="A42" s="9" t="s">
        <v>269</v>
      </c>
      <c r="B42" s="10">
        <v>3.9888888888888889</v>
      </c>
      <c r="C42" s="10">
        <v>1.4444444444444444</v>
      </c>
    </row>
    <row r="43" spans="1:3" x14ac:dyDescent="0.3">
      <c r="A43" s="9" t="s">
        <v>139</v>
      </c>
      <c r="B43" s="10">
        <v>4.1142857142857148</v>
      </c>
      <c r="C43" s="10">
        <v>2.1428571428571428</v>
      </c>
    </row>
    <row r="44" spans="1:3" x14ac:dyDescent="0.3">
      <c r="A44" s="9" t="s">
        <v>222</v>
      </c>
      <c r="B44" s="10">
        <v>4.2</v>
      </c>
      <c r="C44" s="10">
        <v>2.8</v>
      </c>
    </row>
    <row r="45" spans="1:3" x14ac:dyDescent="0.3">
      <c r="A45" s="9" t="s">
        <v>97</v>
      </c>
      <c r="B45" s="10">
        <v>4.1000000000000005</v>
      </c>
      <c r="C45" s="10">
        <v>1.9411764705882353</v>
      </c>
    </row>
    <row r="46" spans="1:3" x14ac:dyDescent="0.3">
      <c r="A46" s="9" t="s">
        <v>103</v>
      </c>
      <c r="B46" s="10">
        <v>3.8999999999999995</v>
      </c>
      <c r="C46" s="10">
        <v>1</v>
      </c>
    </row>
    <row r="47" spans="1:3" x14ac:dyDescent="0.3">
      <c r="A47" s="9" t="s">
        <v>123</v>
      </c>
      <c r="B47" s="10">
        <v>4.0625</v>
      </c>
      <c r="C47" s="10">
        <v>1.5</v>
      </c>
    </row>
    <row r="48" spans="1:3" x14ac:dyDescent="0.3">
      <c r="A48" s="9" t="s">
        <v>65</v>
      </c>
      <c r="B48" s="10">
        <v>3.7230769230769236</v>
      </c>
      <c r="C48" s="10">
        <v>1.3846153846153846</v>
      </c>
    </row>
    <row r="49" spans="1:3" x14ac:dyDescent="0.3">
      <c r="A49" s="9" t="s">
        <v>245</v>
      </c>
      <c r="B49" s="10">
        <v>4.3285714285714283</v>
      </c>
      <c r="C49" s="10">
        <v>1.7142857142857142</v>
      </c>
    </row>
    <row r="50" spans="1:3" x14ac:dyDescent="0.3">
      <c r="A50" s="9" t="s">
        <v>78</v>
      </c>
      <c r="B50" s="10">
        <v>4.1833333333333336</v>
      </c>
      <c r="C50" s="10">
        <v>1.5</v>
      </c>
    </row>
    <row r="51" spans="1:3" x14ac:dyDescent="0.3">
      <c r="A51" s="9" t="s">
        <v>31</v>
      </c>
      <c r="B51" s="10">
        <v>4.1416666666666666</v>
      </c>
      <c r="C51" s="10">
        <v>0.91666666666666663</v>
      </c>
    </row>
    <row r="52" spans="1:3" x14ac:dyDescent="0.3">
      <c r="A52" s="9" t="s">
        <v>190</v>
      </c>
      <c r="B52" s="10">
        <v>3.7</v>
      </c>
      <c r="C52" s="10">
        <v>1.375</v>
      </c>
    </row>
    <row r="53" spans="1:3" x14ac:dyDescent="0.3">
      <c r="A53" s="9" t="s">
        <v>170</v>
      </c>
      <c r="B53" s="10">
        <v>4.3666666666666671</v>
      </c>
      <c r="C53" s="10">
        <v>1.5555555555555556</v>
      </c>
    </row>
    <row r="54" spans="1:3" x14ac:dyDescent="0.3">
      <c r="A54" s="9" t="s">
        <v>637</v>
      </c>
      <c r="B54" s="10">
        <v>4.0395999999999983</v>
      </c>
      <c r="C54" s="10">
        <v>1.444</v>
      </c>
    </row>
  </sheetData>
  <mergeCells count="1">
    <mergeCell ref="A1:E1"/>
  </mergeCell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6C208-F042-4E39-A0D1-7DC6220C18B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Cleaned Data</vt:lpstr>
      <vt:lpstr>KPI_Dashboard</vt:lpstr>
      <vt:lpstr>Route Analysis</vt:lpstr>
      <vt:lpstr>Weather Impact Analysis </vt:lpstr>
      <vt:lpstr>Vehicle Performance Analysis</vt:lpstr>
      <vt:lpstr>Driver Performance 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shaijunitya@gmail.com</cp:lastModifiedBy>
  <dcterms:created xsi:type="dcterms:W3CDTF">2026-05-07T01:54:58Z</dcterms:created>
  <dcterms:modified xsi:type="dcterms:W3CDTF">2026-06-15T22:13:20Z</dcterms:modified>
</cp:coreProperties>
</file>